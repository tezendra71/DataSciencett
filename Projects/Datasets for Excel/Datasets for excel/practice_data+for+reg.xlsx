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33. reg/"/>
    </mc:Choice>
  </mc:AlternateContent>
  <xr:revisionPtr revIDLastSave="0" documentId="13_ncr:1_{8188CB86-1898-1F4B-B10A-7C50CBB409CC}" xr6:coauthVersionLast="47" xr6:coauthVersionMax="47" xr10:uidLastSave="{00000000-0000-0000-0000-000000000000}"/>
  <bookViews>
    <workbookView xWindow="780" yWindow="1000" windowWidth="27640" windowHeight="15920" activeTab="1" xr2:uid="{03E43F0D-F947-F64B-9D7E-764189E7D68D}"/>
  </bookViews>
  <sheets>
    <sheet name="Data" sheetId="1" r:id="rId1"/>
    <sheet name="Reg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B1" i="7"/>
  <c r="A1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" i="7"/>
</calcChain>
</file>

<file path=xl/sharedStrings.xml><?xml version="1.0" encoding="utf-8"?>
<sst xmlns="http://schemas.openxmlformats.org/spreadsheetml/2006/main" count="816" uniqueCount="52">
  <si>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</si>
  <si>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</si>
  <si>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</si>
  <si>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</si>
  <si>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</si>
  <si>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</si>
  <si>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</si>
  <si>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</si>
  <si>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</si>
  <si>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</si>
  <si>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</si>
  <si>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</si>
  <si>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</si>
  <si>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</si>
  <si>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</si>
  <si>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</si>
  <si>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</si>
  <si>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</si>
  <si>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</si>
  <si>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</si>
  <si>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</si>
  <si>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</si>
  <si>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</si>
  <si>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</si>
  <si>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</si>
  <si>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</si>
  <si>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</si>
  <si>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</si>
  <si>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</si>
  <si>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</si>
  <si>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</si>
  <si>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</si>
  <si>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</si>
  <si>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</si>
  <si>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</si>
  <si>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</si>
  <si>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</si>
  <si>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</si>
  <si>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</si>
  <si>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</si>
  <si>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</si>
  <si>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</si>
  <si>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</si>
  <si>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</si>
  <si>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</si>
  <si>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</si>
  <si>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</si>
  <si>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</si>
  <si>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</si>
  <si>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</si>
  <si>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</si>
  <si>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Is there any significant influence of discount rate and delivery days on profit margin?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</si>
</sst>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0" fontId="1" fillId="2" borderId="0" xfId="0" applyFont="1" applyFill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1" fontId="0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dimension ref="A1:N101"/>
  <sheetViews>
    <sheetView workbookViewId="0">
      <selection activeCell="M9" sqref="M9"/>
    </sheetView>
  </sheetViews>
  <sheetFormatPr baseColWidth="10" defaultRowHeight="16" x14ac:dyDescent="0.2"/>
  <cols>
    <col min="1" max="1" width="11.33203125" bestFit="1" customWidth="1"/>
    <col min="2" max="2" width="11.33203125" style="1" bestFit="1" customWidth="1"/>
    <col min="3" max="3" width="16.33203125" style="1" bestFit="1" customWidth="1"/>
    <col min="4" max="4" width="17.5" style="1" bestFit="1" customWidth="1"/>
    <col min="5" max="5" width="15.83203125" style="1" bestFit="1" customWidth="1"/>
    <col min="6" max="6" width="6.83203125" style="1" bestFit="1" customWidth="1"/>
    <col min="7" max="7" width="11.1640625" style="1" bestFit="1" customWidth="1"/>
    <col min="8" max="8" width="13" style="1" bestFit="1" customWidth="1"/>
    <col min="9" max="9" width="12" style="1" bestFit="1" customWidth="1"/>
    <col min="10" max="10" width="6.6640625" style="1" bestFit="1" customWidth="1"/>
    <col min="11" max="11" width="11.6640625" style="3" bestFit="1" customWidth="1"/>
    <col min="12" max="12" width="11.83203125" style="1" bestFit="1" customWidth="1"/>
    <col min="13" max="13" width="13.33203125" style="1" bestFit="1" customWidth="1"/>
    <col min="14" max="14" width="11.33203125" style="1" bestFit="1" customWidth="1"/>
  </cols>
  <sheetData>
    <row r="1" spans="1:14" x14ac:dyDescent="0.2">
      <c r="A1" s="2" t="s">
        <v>43</v>
      </c>
      <c r="B1" s="5" t="s">
        <v>44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7" t="s">
        <v>47</v>
      </c>
      <c r="K1" s="8" t="s">
        <v>48</v>
      </c>
      <c r="L1" s="7" t="s">
        <v>49</v>
      </c>
      <c r="M1" s="5" t="s">
        <v>6</v>
      </c>
      <c r="N1" s="7" t="s">
        <v>50</v>
      </c>
    </row>
    <row r="2" spans="1:14" x14ac:dyDescent="0.2">
      <c r="A2">
        <v>1</v>
      </c>
      <c r="B2" s="3" t="s">
        <v>45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2">
      <c r="A3">
        <v>2</v>
      </c>
      <c r="B3" s="3" t="s">
        <v>46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2">
      <c r="A4">
        <v>3</v>
      </c>
      <c r="B4" s="3" t="s">
        <v>45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2">
      <c r="A5">
        <v>4</v>
      </c>
      <c r="B5" s="3" t="s">
        <v>46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2">
      <c r="A6">
        <v>5</v>
      </c>
      <c r="B6" s="3" t="s">
        <v>45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2">
      <c r="A7">
        <v>6</v>
      </c>
      <c r="B7" s="3" t="s">
        <v>46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2">
      <c r="A8">
        <v>7</v>
      </c>
      <c r="B8" s="3" t="s">
        <v>45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2">
      <c r="A9">
        <v>8</v>
      </c>
      <c r="B9" s="3" t="s">
        <v>46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2">
      <c r="A10">
        <v>9</v>
      </c>
      <c r="B10" s="3" t="s">
        <v>45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2">
      <c r="A11">
        <v>10</v>
      </c>
      <c r="B11" s="3" t="s">
        <v>46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2">
      <c r="A12">
        <v>11</v>
      </c>
      <c r="B12" s="3" t="s">
        <v>45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2">
      <c r="A13">
        <v>12</v>
      </c>
      <c r="B13" s="3" t="s">
        <v>46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2">
      <c r="A14">
        <v>13</v>
      </c>
      <c r="B14" s="3" t="s">
        <v>45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2">
      <c r="A15">
        <v>14</v>
      </c>
      <c r="B15" s="3" t="s">
        <v>46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2">
      <c r="A16">
        <v>15</v>
      </c>
      <c r="B16" s="3" t="s">
        <v>45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2">
      <c r="A17">
        <v>16</v>
      </c>
      <c r="B17" s="3" t="s">
        <v>46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2">
      <c r="A18">
        <v>17</v>
      </c>
      <c r="B18" s="3" t="s">
        <v>45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2">
      <c r="A19">
        <v>18</v>
      </c>
      <c r="B19" s="3" t="s">
        <v>46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2">
      <c r="A20">
        <v>19</v>
      </c>
      <c r="B20" s="3" t="s">
        <v>45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2">
      <c r="A21">
        <v>20</v>
      </c>
      <c r="B21" s="3" t="s">
        <v>46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2">
      <c r="A22">
        <v>21</v>
      </c>
      <c r="B22" s="3" t="s">
        <v>45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2">
      <c r="A23">
        <v>22</v>
      </c>
      <c r="B23" s="3" t="s">
        <v>46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2">
      <c r="A24">
        <v>23</v>
      </c>
      <c r="B24" s="3" t="s">
        <v>45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2">
      <c r="A25">
        <v>24</v>
      </c>
      <c r="B25" s="3" t="s">
        <v>46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2">
      <c r="A26">
        <v>25</v>
      </c>
      <c r="B26" s="3" t="s">
        <v>45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2">
      <c r="A27">
        <v>26</v>
      </c>
      <c r="B27" s="3" t="s">
        <v>46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2">
      <c r="A28">
        <v>27</v>
      </c>
      <c r="B28" s="3" t="s">
        <v>45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2">
      <c r="A29">
        <v>28</v>
      </c>
      <c r="B29" s="3" t="s">
        <v>46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2">
      <c r="A30">
        <v>29</v>
      </c>
      <c r="B30" s="3" t="s">
        <v>45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2">
      <c r="A31">
        <v>30</v>
      </c>
      <c r="B31" s="3" t="s">
        <v>46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2">
      <c r="A32">
        <v>31</v>
      </c>
      <c r="B32" s="3" t="s">
        <v>45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2">
      <c r="A33">
        <v>32</v>
      </c>
      <c r="B33" s="3" t="s">
        <v>46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2">
      <c r="A34">
        <v>33</v>
      </c>
      <c r="B34" s="3" t="s">
        <v>45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2">
      <c r="A35">
        <v>34</v>
      </c>
      <c r="B35" s="3" t="s">
        <v>46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2">
      <c r="A36">
        <v>35</v>
      </c>
      <c r="B36" s="3" t="s">
        <v>45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2">
      <c r="A37">
        <v>36</v>
      </c>
      <c r="B37" s="3" t="s">
        <v>46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2">
      <c r="A38">
        <v>37</v>
      </c>
      <c r="B38" s="3" t="s">
        <v>45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2">
      <c r="A39">
        <v>38</v>
      </c>
      <c r="B39" s="3" t="s">
        <v>46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2">
      <c r="A40">
        <v>39</v>
      </c>
      <c r="B40" s="3" t="s">
        <v>45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2">
      <c r="A41">
        <v>40</v>
      </c>
      <c r="B41" s="3" t="s">
        <v>46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2">
      <c r="A42">
        <v>41</v>
      </c>
      <c r="B42" s="3" t="s">
        <v>45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2">
      <c r="A43">
        <v>42</v>
      </c>
      <c r="B43" s="3" t="s">
        <v>46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2">
      <c r="A44">
        <v>43</v>
      </c>
      <c r="B44" s="3" t="s">
        <v>45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2">
      <c r="A45">
        <v>44</v>
      </c>
      <c r="B45" s="3" t="s">
        <v>46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2">
      <c r="A46">
        <v>45</v>
      </c>
      <c r="B46" s="3" t="s">
        <v>45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2">
      <c r="A47">
        <v>46</v>
      </c>
      <c r="B47" s="3" t="s">
        <v>46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2">
      <c r="A48">
        <v>47</v>
      </c>
      <c r="B48" s="3" t="s">
        <v>45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2">
      <c r="A49">
        <v>48</v>
      </c>
      <c r="B49" s="3" t="s">
        <v>46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2">
      <c r="A50">
        <v>49</v>
      </c>
      <c r="B50" s="3" t="s">
        <v>45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2">
      <c r="A51">
        <v>50</v>
      </c>
      <c r="B51" s="3" t="s">
        <v>46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2">
      <c r="A52">
        <v>51</v>
      </c>
      <c r="B52" s="3" t="s">
        <v>45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2">
      <c r="A53">
        <v>52</v>
      </c>
      <c r="B53" s="3" t="s">
        <v>46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2">
      <c r="A54">
        <v>53</v>
      </c>
      <c r="B54" s="3" t="s">
        <v>45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2">
      <c r="A55">
        <v>54</v>
      </c>
      <c r="B55" s="3" t="s">
        <v>46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2">
      <c r="A56">
        <v>55</v>
      </c>
      <c r="B56" s="3" t="s">
        <v>45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2">
      <c r="A57">
        <v>56</v>
      </c>
      <c r="B57" s="3" t="s">
        <v>46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2">
      <c r="A58">
        <v>57</v>
      </c>
      <c r="B58" s="3" t="s">
        <v>45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2">
      <c r="A59">
        <v>58</v>
      </c>
      <c r="B59" s="3" t="s">
        <v>46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2">
      <c r="A60">
        <v>59</v>
      </c>
      <c r="B60" s="3" t="s">
        <v>45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2">
      <c r="A61">
        <v>60</v>
      </c>
      <c r="B61" s="3" t="s">
        <v>46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2">
      <c r="A62">
        <v>61</v>
      </c>
      <c r="B62" s="3" t="s">
        <v>45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2">
      <c r="A63">
        <v>62</v>
      </c>
      <c r="B63" s="3" t="s">
        <v>46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2">
      <c r="A64">
        <v>63</v>
      </c>
      <c r="B64" s="3" t="s">
        <v>45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2">
      <c r="A65">
        <v>64</v>
      </c>
      <c r="B65" s="3" t="s">
        <v>46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2">
      <c r="A66">
        <v>65</v>
      </c>
      <c r="B66" s="3" t="s">
        <v>45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2">
      <c r="A67">
        <v>66</v>
      </c>
      <c r="B67" s="3" t="s">
        <v>46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2">
      <c r="A68">
        <v>67</v>
      </c>
      <c r="B68" s="3" t="s">
        <v>45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2">
      <c r="A69">
        <v>68</v>
      </c>
      <c r="B69" s="3" t="s">
        <v>46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2">
      <c r="A70">
        <v>69</v>
      </c>
      <c r="B70" s="3" t="s">
        <v>45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2">
      <c r="A71">
        <v>70</v>
      </c>
      <c r="B71" s="3" t="s">
        <v>46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2">
      <c r="A72">
        <v>71</v>
      </c>
      <c r="B72" s="3" t="s">
        <v>45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2">
      <c r="A73">
        <v>72</v>
      </c>
      <c r="B73" s="3" t="s">
        <v>46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2">
      <c r="A74">
        <v>73</v>
      </c>
      <c r="B74" s="3" t="s">
        <v>45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2">
      <c r="A75">
        <v>74</v>
      </c>
      <c r="B75" s="3" t="s">
        <v>46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2">
      <c r="A76">
        <v>75</v>
      </c>
      <c r="B76" s="3" t="s">
        <v>45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2">
      <c r="A77">
        <v>76</v>
      </c>
      <c r="B77" s="3" t="s">
        <v>46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2">
      <c r="A78">
        <v>77</v>
      </c>
      <c r="B78" s="3" t="s">
        <v>45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2">
      <c r="A79">
        <v>78</v>
      </c>
      <c r="B79" s="3" t="s">
        <v>46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2">
      <c r="A80">
        <v>79</v>
      </c>
      <c r="B80" s="3" t="s">
        <v>45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2">
      <c r="A81">
        <v>80</v>
      </c>
      <c r="B81" s="3" t="s">
        <v>46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2">
      <c r="A82">
        <v>81</v>
      </c>
      <c r="B82" s="3" t="s">
        <v>45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2">
      <c r="A83">
        <v>82</v>
      </c>
      <c r="B83" s="3" t="s">
        <v>46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2">
      <c r="A84">
        <v>83</v>
      </c>
      <c r="B84" s="3" t="s">
        <v>45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2">
      <c r="A85">
        <v>84</v>
      </c>
      <c r="B85" s="3" t="s">
        <v>46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2">
      <c r="A86">
        <v>85</v>
      </c>
      <c r="B86" s="3" t="s">
        <v>45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2">
      <c r="A87">
        <v>86</v>
      </c>
      <c r="B87" s="3" t="s">
        <v>46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2">
      <c r="A88">
        <v>87</v>
      </c>
      <c r="B88" s="3" t="s">
        <v>45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2">
      <c r="A89">
        <v>88</v>
      </c>
      <c r="B89" s="3" t="s">
        <v>46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2">
      <c r="A90">
        <v>89</v>
      </c>
      <c r="B90" s="3" t="s">
        <v>45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2">
      <c r="A91">
        <v>90</v>
      </c>
      <c r="B91" s="3" t="s">
        <v>46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2">
      <c r="A92">
        <v>91</v>
      </c>
      <c r="B92" s="3" t="s">
        <v>45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2">
      <c r="A93">
        <v>92</v>
      </c>
      <c r="B93" s="3" t="s">
        <v>46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2">
      <c r="A94">
        <v>93</v>
      </c>
      <c r="B94" s="3" t="s">
        <v>45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2">
      <c r="A95">
        <v>94</v>
      </c>
      <c r="B95" s="3" t="s">
        <v>46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2">
      <c r="A96">
        <v>95</v>
      </c>
      <c r="B96" s="3" t="s">
        <v>45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2">
      <c r="A97">
        <v>96</v>
      </c>
      <c r="B97" s="3" t="s">
        <v>46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2">
      <c r="A98">
        <v>97</v>
      </c>
      <c r="B98" s="3" t="s">
        <v>45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2">
      <c r="A99">
        <v>98</v>
      </c>
      <c r="B99" s="3" t="s">
        <v>46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2">
      <c r="A100">
        <v>99</v>
      </c>
      <c r="B100" s="3" t="s">
        <v>45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2">
      <c r="A101">
        <v>100</v>
      </c>
      <c r="B101" s="3" t="s">
        <v>46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dimension ref="A1:L101"/>
  <sheetViews>
    <sheetView tabSelected="1" zoomScale="156" workbookViewId="0">
      <selection activeCell="E3" sqref="E3"/>
    </sheetView>
  </sheetViews>
  <sheetFormatPr baseColWidth="10" defaultRowHeight="16" x14ac:dyDescent="0.2"/>
  <cols>
    <col min="1" max="1" width="12.5" bestFit="1" customWidth="1"/>
    <col min="2" max="2" width="16" bestFit="1" customWidth="1"/>
    <col min="3" max="3" width="16" customWidth="1"/>
  </cols>
  <sheetData>
    <row r="1" spans="1:12" x14ac:dyDescent="0.2">
      <c r="A1" s="5" t="str">
        <f>Data!L1</f>
        <v>Discount Rate</v>
      </c>
      <c r="B1" s="5" t="str">
        <f>Data!M1</f>
        <v>Delivery_Days</v>
      </c>
      <c r="C1" s="5" t="str">
        <f>Data!N1</f>
        <v>Profit Margin</v>
      </c>
      <c r="D1" s="1"/>
      <c r="E1" s="6" t="s">
        <v>42</v>
      </c>
    </row>
    <row r="2" spans="1:12" x14ac:dyDescent="0.2">
      <c r="A2" s="4">
        <f>Data!L2</f>
        <v>0.16617445551725141</v>
      </c>
      <c r="B2" s="10">
        <f>Data!M2</f>
        <v>4.5019279208872431</v>
      </c>
      <c r="C2" s="4">
        <f>Data!N2</f>
        <v>0.28936177079024888</v>
      </c>
      <c r="E2" s="9" t="s">
        <v>51</v>
      </c>
      <c r="F2" s="9"/>
      <c r="G2" s="9"/>
      <c r="H2" s="9"/>
      <c r="I2" s="9"/>
      <c r="J2" s="9"/>
      <c r="K2" s="9"/>
      <c r="L2" s="9"/>
    </row>
    <row r="3" spans="1:12" x14ac:dyDescent="0.2">
      <c r="A3" s="4">
        <f>Data!L3</f>
        <v>9.9897857119795777E-2</v>
      </c>
      <c r="B3" s="10">
        <f>Data!M3</f>
        <v>2.2397970835702168</v>
      </c>
      <c r="C3" s="4">
        <f>Data!N3</f>
        <v>0.2207370029864176</v>
      </c>
    </row>
    <row r="4" spans="1:12" x14ac:dyDescent="0.2">
      <c r="A4" s="4">
        <f>Data!L4</f>
        <v>9.9897857119795777E-2</v>
      </c>
      <c r="B4" s="10">
        <f>Data!M4</f>
        <v>2.1554925808046521</v>
      </c>
      <c r="C4" s="4">
        <f>Data!N4</f>
        <v>0.25439927348418562</v>
      </c>
    </row>
    <row r="5" spans="1:12" x14ac:dyDescent="0.2">
      <c r="A5" s="4">
        <f>Data!L5</f>
        <v>0.18491415701193711</v>
      </c>
      <c r="B5" s="10">
        <f>Data!M5</f>
        <v>4.7441648170384667</v>
      </c>
      <c r="C5" s="4">
        <f>Data!N5</f>
        <v>0.30629010595447159</v>
      </c>
    </row>
    <row r="6" spans="1:12" x14ac:dyDescent="0.2">
      <c r="A6" s="4">
        <f>Data!L6</f>
        <v>7.3005509594202878E-2</v>
      </c>
      <c r="B6" s="10">
        <f>Data!M6</f>
        <v>2.750715816324262</v>
      </c>
      <c r="C6" s="4">
        <f>Data!N6</f>
        <v>0.21021883294682961</v>
      </c>
    </row>
    <row r="7" spans="1:12" x14ac:dyDescent="0.2">
      <c r="A7" s="4">
        <f>Data!L7</f>
        <v>0.17917733206862821</v>
      </c>
      <c r="B7" s="10">
        <f>Data!M7</f>
        <v>4.5020717030418531</v>
      </c>
      <c r="C7" s="4">
        <f>Data!N7</f>
        <v>0.29212239699142872</v>
      </c>
    </row>
    <row r="8" spans="1:12" x14ac:dyDescent="0.2">
      <c r="A8" s="4">
        <f>Data!L8</f>
        <v>0.22561918398743461</v>
      </c>
      <c r="B8" s="10">
        <f>Data!M8</f>
        <v>5.4069272717344461</v>
      </c>
      <c r="C8" s="4">
        <f>Data!N8</f>
        <v>0.31072854455321491</v>
      </c>
    </row>
    <row r="9" spans="1:12" x14ac:dyDescent="0.2">
      <c r="A9" s="4">
        <f>Data!L9</f>
        <v>9.9897857119795777E-2</v>
      </c>
      <c r="B9" s="10">
        <f>Data!M9</f>
        <v>2.1554925808046521</v>
      </c>
      <c r="C9" s="4">
        <f>Data!N9</f>
        <v>0.2110494352398164</v>
      </c>
    </row>
    <row r="10" spans="1:12" x14ac:dyDescent="0.2">
      <c r="A10" s="4">
        <f>Data!L10</f>
        <v>0.18491415701193711</v>
      </c>
      <c r="B10" s="10">
        <f>Data!M10</f>
        <v>4.0998690570415128</v>
      </c>
      <c r="C10" s="4">
        <f>Data!N10</f>
        <v>0.27918051659162052</v>
      </c>
    </row>
    <row r="11" spans="1:12" x14ac:dyDescent="0.2">
      <c r="A11" s="4">
        <f>Data!L11</f>
        <v>9.9897857119795777E-2</v>
      </c>
      <c r="B11" s="10">
        <f>Data!M11</f>
        <v>2.391060998990294</v>
      </c>
      <c r="C11" s="4">
        <f>Data!N11</f>
        <v>0.22284298272060979</v>
      </c>
    </row>
    <row r="12" spans="1:12" x14ac:dyDescent="0.2">
      <c r="A12" s="4">
        <f>Data!L12</f>
        <v>0.18251118457953991</v>
      </c>
      <c r="B12" s="10">
        <f>Data!M12</f>
        <v>4.4498966056967122</v>
      </c>
      <c r="C12" s="4">
        <f>Data!N12</f>
        <v>0.29895452589316301</v>
      </c>
    </row>
    <row r="13" spans="1:12" x14ac:dyDescent="0.2">
      <c r="A13" s="4">
        <f>Data!L13</f>
        <v>0.25577787661114959</v>
      </c>
      <c r="B13" s="10">
        <f>Data!M13</f>
        <v>7.2391498228691544</v>
      </c>
      <c r="C13" s="4">
        <f>Data!N13</f>
        <v>0.35155019849350672</v>
      </c>
    </row>
    <row r="14" spans="1:12" x14ac:dyDescent="0.2">
      <c r="A14" s="4">
        <f>Data!L14</f>
        <v>0.17917733206862821</v>
      </c>
      <c r="B14" s="10">
        <f>Data!M14</f>
        <v>2.2344005380713279</v>
      </c>
      <c r="C14" s="4">
        <f>Data!N14</f>
        <v>0.25465478640020989</v>
      </c>
    </row>
    <row r="15" spans="1:12" x14ac:dyDescent="0.2">
      <c r="A15" s="4">
        <f>Data!L15</f>
        <v>0.1810031805337412</v>
      </c>
      <c r="B15" s="10">
        <f>Data!M15</f>
        <v>2.2397970835702168</v>
      </c>
      <c r="C15" s="4">
        <f>Data!N15</f>
        <v>0.2680229457328035</v>
      </c>
    </row>
    <row r="16" spans="1:12" x14ac:dyDescent="0.2">
      <c r="A16" s="4">
        <f>Data!L16</f>
        <v>0.27990155171090281</v>
      </c>
      <c r="B16" s="10">
        <f>Data!M16</f>
        <v>7.7337485348890489</v>
      </c>
      <c r="C16" s="4">
        <f>Data!N16</f>
        <v>0.35719492828615568</v>
      </c>
    </row>
    <row r="17" spans="1:3" x14ac:dyDescent="0.2">
      <c r="A17" s="4">
        <f>Data!L17</f>
        <v>0.30486450852597691</v>
      </c>
      <c r="B17" s="10">
        <f>Data!M17</f>
        <v>8.5106816848864089</v>
      </c>
      <c r="C17" s="4">
        <f>Data!N17</f>
        <v>0.40987566214717058</v>
      </c>
    </row>
    <row r="18" spans="1:3" x14ac:dyDescent="0.2">
      <c r="A18" s="4">
        <f>Data!L18</f>
        <v>0.22905363271008869</v>
      </c>
      <c r="B18" s="10">
        <f>Data!M18</f>
        <v>5.4279598214684439</v>
      </c>
      <c r="C18" s="4">
        <f>Data!N18</f>
        <v>0.31830109051492927</v>
      </c>
    </row>
    <row r="19" spans="1:3" x14ac:dyDescent="0.2">
      <c r="A19" s="4">
        <f>Data!L19</f>
        <v>7.3005509594202878E-2</v>
      </c>
      <c r="B19" s="10">
        <f>Data!M19</f>
        <v>2.391060998990294</v>
      </c>
      <c r="C19" s="4">
        <f>Data!N19</f>
        <v>0.17712869665622341</v>
      </c>
    </row>
    <row r="20" spans="1:3" x14ac:dyDescent="0.2">
      <c r="A20" s="4">
        <f>Data!L20</f>
        <v>9.9897857119795777E-2</v>
      </c>
      <c r="B20" s="10">
        <f>Data!M20</f>
        <v>4.4611863311108841</v>
      </c>
      <c r="C20" s="4">
        <f>Data!N20</f>
        <v>0.28515499329898969</v>
      </c>
    </row>
    <row r="21" spans="1:3" x14ac:dyDescent="0.2">
      <c r="A21" s="4">
        <f>Data!L21</f>
        <v>0.2498381806947613</v>
      </c>
      <c r="B21" s="10">
        <f>Data!M21</f>
        <v>6.4350845115919242</v>
      </c>
      <c r="C21" s="4">
        <f>Data!N21</f>
        <v>0.34135721988956752</v>
      </c>
    </row>
    <row r="22" spans="1:3" x14ac:dyDescent="0.2">
      <c r="A22" s="4">
        <f>Data!L22</f>
        <v>0.17917733206862821</v>
      </c>
      <c r="B22" s="10">
        <f>Data!M22</f>
        <v>2.2344005380713279</v>
      </c>
      <c r="C22" s="4">
        <f>Data!N22</f>
        <v>0.25651376000433213</v>
      </c>
    </row>
    <row r="23" spans="1:3" x14ac:dyDescent="0.2">
      <c r="A23" s="4">
        <f>Data!L23</f>
        <v>7.0450973374120401E-2</v>
      </c>
      <c r="B23" s="10">
        <f>Data!M23</f>
        <v>1</v>
      </c>
      <c r="C23" s="4">
        <f>Data!N23</f>
        <v>0.14962905137318741</v>
      </c>
    </row>
    <row r="24" spans="1:3" x14ac:dyDescent="0.2">
      <c r="A24" s="4">
        <f>Data!L24</f>
        <v>7.3005509594202878E-2</v>
      </c>
      <c r="B24" s="10">
        <f>Data!M24</f>
        <v>2.391060998990294</v>
      </c>
      <c r="C24" s="4">
        <f>Data!N24</f>
        <v>0.18294062777081871</v>
      </c>
    </row>
    <row r="25" spans="1:3" x14ac:dyDescent="0.2">
      <c r="A25" s="4">
        <f>Data!L25</f>
        <v>0.18479239883959939</v>
      </c>
      <c r="B25" s="10">
        <f>Data!M25</f>
        <v>3.9722661653266131</v>
      </c>
      <c r="C25" s="4">
        <f>Data!N25</f>
        <v>0.27367669906443659</v>
      </c>
    </row>
    <row r="26" spans="1:3" x14ac:dyDescent="0.2">
      <c r="A26" s="4">
        <f>Data!L26</f>
        <v>9.9897857119795777E-2</v>
      </c>
      <c r="B26" s="10">
        <f>Data!M26</f>
        <v>2.391060998990294</v>
      </c>
      <c r="C26" s="4">
        <f>Data!N26</f>
        <v>0.22479924456866621</v>
      </c>
    </row>
    <row r="27" spans="1:3" x14ac:dyDescent="0.2">
      <c r="A27" s="4">
        <f>Data!L27</f>
        <v>0.16617445551725141</v>
      </c>
      <c r="B27" s="10">
        <f>Data!M27</f>
        <v>2.750715816324262</v>
      </c>
      <c r="C27" s="4">
        <f>Data!N27</f>
        <v>0.25128814980901171</v>
      </c>
    </row>
    <row r="28" spans="1:3" x14ac:dyDescent="0.2">
      <c r="A28" s="4">
        <f>Data!L28</f>
        <v>0.25577787661114959</v>
      </c>
      <c r="B28" s="10">
        <f>Data!M28</f>
        <v>7.1168489736991756</v>
      </c>
      <c r="C28" s="4">
        <f>Data!N28</f>
        <v>0.34981255561364211</v>
      </c>
    </row>
    <row r="29" spans="1:3" x14ac:dyDescent="0.2">
      <c r="A29" s="4">
        <f>Data!L29</f>
        <v>0.18491415701193711</v>
      </c>
      <c r="B29" s="10">
        <f>Data!M29</f>
        <v>4.0998690570415128</v>
      </c>
      <c r="C29" s="4">
        <f>Data!N29</f>
        <v>0.27568709704055427</v>
      </c>
    </row>
    <row r="30" spans="1:3" x14ac:dyDescent="0.2">
      <c r="A30" s="4">
        <f>Data!L30</f>
        <v>0.17917733206862821</v>
      </c>
      <c r="B30" s="10">
        <f>Data!M30</f>
        <v>4.5020717030418531</v>
      </c>
      <c r="C30" s="4">
        <f>Data!N30</f>
        <v>0.2910865626887707</v>
      </c>
    </row>
    <row r="31" spans="1:3" x14ac:dyDescent="0.2">
      <c r="A31" s="4">
        <f>Data!L31</f>
        <v>9.9897857119795777E-2</v>
      </c>
      <c r="B31" s="10">
        <f>Data!M31</f>
        <v>2.8369039927712101</v>
      </c>
      <c r="C31" s="4">
        <f>Data!N31</f>
        <v>0.25301998160958439</v>
      </c>
    </row>
    <row r="32" spans="1:3" x14ac:dyDescent="0.2">
      <c r="A32" s="4">
        <f>Data!L32</f>
        <v>0.18491415701193711</v>
      </c>
      <c r="B32" s="10">
        <f>Data!M32</f>
        <v>4.4498966056967122</v>
      </c>
      <c r="C32" s="4">
        <f>Data!N32</f>
        <v>0.28087418717400608</v>
      </c>
    </row>
    <row r="33" spans="1:3" x14ac:dyDescent="0.2">
      <c r="A33" s="4">
        <f>Data!L33</f>
        <v>0.1810031805337412</v>
      </c>
      <c r="B33" s="10">
        <f>Data!M33</f>
        <v>4.0998690570415128</v>
      </c>
      <c r="C33" s="4">
        <f>Data!N33</f>
        <v>0.29589157319362352</v>
      </c>
    </row>
    <row r="34" spans="1:3" x14ac:dyDescent="0.2">
      <c r="A34" s="4">
        <f>Data!L34</f>
        <v>0.27131122626152698</v>
      </c>
      <c r="B34" s="10">
        <f>Data!M34</f>
        <v>7.3585943681276529</v>
      </c>
      <c r="C34" s="4">
        <f>Data!N34</f>
        <v>0.3561087509382424</v>
      </c>
    </row>
    <row r="35" spans="1:3" x14ac:dyDescent="0.2">
      <c r="A35" s="4">
        <f>Data!L35</f>
        <v>0.28372444382937562</v>
      </c>
      <c r="B35" s="10">
        <f>Data!M35</f>
        <v>6.763279513898901</v>
      </c>
      <c r="C35" s="4">
        <f>Data!N35</f>
        <v>0.37607345777717149</v>
      </c>
    </row>
    <row r="36" spans="1:3" x14ac:dyDescent="0.2">
      <c r="A36" s="4">
        <f>Data!L36</f>
        <v>9.9897857119795777E-2</v>
      </c>
      <c r="B36" s="10">
        <f>Data!M36</f>
        <v>2.6042442148223031</v>
      </c>
      <c r="C36" s="4">
        <f>Data!N36</f>
        <v>0.18955232651186979</v>
      </c>
    </row>
    <row r="37" spans="1:3" x14ac:dyDescent="0.2">
      <c r="A37" s="4">
        <f>Data!L37</f>
        <v>9.9897857119795777E-2</v>
      </c>
      <c r="B37" s="10">
        <f>Data!M37</f>
        <v>4.4498966056967122</v>
      </c>
      <c r="C37" s="4">
        <f>Data!N37</f>
        <v>0.28130963365436612</v>
      </c>
    </row>
    <row r="38" spans="1:3" x14ac:dyDescent="0.2">
      <c r="A38" s="4">
        <f>Data!L38</f>
        <v>0.16617445551725141</v>
      </c>
      <c r="B38" s="10">
        <f>Data!M38</f>
        <v>2.6334829746684498</v>
      </c>
      <c r="C38" s="4">
        <f>Data!N38</f>
        <v>0.24905707173957051</v>
      </c>
    </row>
    <row r="39" spans="1:3" x14ac:dyDescent="0.2">
      <c r="A39" s="4">
        <f>Data!L39</f>
        <v>0.27990155171090281</v>
      </c>
      <c r="B39" s="10">
        <f>Data!M39</f>
        <v>6.0080930310356884</v>
      </c>
      <c r="C39" s="4">
        <f>Data!N39</f>
        <v>0.35867859413871878</v>
      </c>
    </row>
    <row r="40" spans="1:3" x14ac:dyDescent="0.2">
      <c r="A40" s="4">
        <f>Data!L40</f>
        <v>0.22905363271008869</v>
      </c>
      <c r="B40" s="10">
        <f>Data!M40</f>
        <v>5.622500309087072</v>
      </c>
      <c r="C40" s="4">
        <f>Data!N40</f>
        <v>0.32331029713287818</v>
      </c>
    </row>
    <row r="41" spans="1:3" x14ac:dyDescent="0.2">
      <c r="A41" s="4">
        <f>Data!L41</f>
        <v>0.25577787661114959</v>
      </c>
      <c r="B41" s="10">
        <f>Data!M41</f>
        <v>6.9431419019087111</v>
      </c>
      <c r="C41" s="4">
        <f>Data!N41</f>
        <v>0.34656380994048908</v>
      </c>
    </row>
    <row r="42" spans="1:3" x14ac:dyDescent="0.2">
      <c r="A42" s="4">
        <f>Data!L42</f>
        <v>0.30486450852597691</v>
      </c>
      <c r="B42" s="10">
        <f>Data!M42</f>
        <v>8.929450265832779</v>
      </c>
      <c r="C42" s="4">
        <f>Data!N42</f>
        <v>0.41054204530787919</v>
      </c>
    </row>
    <row r="43" spans="1:3" x14ac:dyDescent="0.2">
      <c r="A43" s="4">
        <f>Data!L43</f>
        <v>0.35185508179490538</v>
      </c>
      <c r="B43" s="10">
        <f>Data!M43</f>
        <v>11.157761616910481</v>
      </c>
      <c r="C43" s="4">
        <f>Data!N43</f>
        <v>0.45044823315321392</v>
      </c>
    </row>
    <row r="44" spans="1:3" x14ac:dyDescent="0.2">
      <c r="A44" s="4">
        <f>Data!L44</f>
        <v>0.1810031805337412</v>
      </c>
      <c r="B44" s="10">
        <f>Data!M44</f>
        <v>2.391060998990294</v>
      </c>
      <c r="C44" s="4">
        <f>Data!N44</f>
        <v>0.26813506639730089</v>
      </c>
    </row>
    <row r="45" spans="1:3" x14ac:dyDescent="0.2">
      <c r="A45" s="4">
        <f>Data!L45</f>
        <v>9.9897857119795777E-2</v>
      </c>
      <c r="B45" s="10">
        <f>Data!M45</f>
        <v>2.6042442148223031</v>
      </c>
      <c r="C45" s="4">
        <f>Data!N45</f>
        <v>0.23379175927136131</v>
      </c>
    </row>
    <row r="46" spans="1:3" x14ac:dyDescent="0.2">
      <c r="A46" s="4">
        <f>Data!L46</f>
        <v>0.27990155171090281</v>
      </c>
      <c r="B46" s="10">
        <f>Data!M46</f>
        <v>6.0288776681174978</v>
      </c>
      <c r="C46" s="4">
        <f>Data!N46</f>
        <v>0.36212322494095361</v>
      </c>
    </row>
    <row r="47" spans="1:3" x14ac:dyDescent="0.2">
      <c r="A47" s="4">
        <f>Data!L47</f>
        <v>0.18251118457953991</v>
      </c>
      <c r="B47" s="10">
        <f>Data!M47</f>
        <v>4.0998690570415128</v>
      </c>
      <c r="C47" s="4">
        <f>Data!N47</f>
        <v>0.29718856991396142</v>
      </c>
    </row>
    <row r="48" spans="1:3" x14ac:dyDescent="0.2">
      <c r="A48" s="4">
        <f>Data!L48</f>
        <v>9.9897857119795777E-2</v>
      </c>
      <c r="B48" s="10">
        <f>Data!M48</f>
        <v>4.4611863311108841</v>
      </c>
      <c r="C48" s="4">
        <f>Data!N48</f>
        <v>0.28336942798927012</v>
      </c>
    </row>
    <row r="49" spans="1:3" x14ac:dyDescent="0.2">
      <c r="A49" s="4">
        <f>Data!L49</f>
        <v>0.25577787661114959</v>
      </c>
      <c r="B49" s="10">
        <f>Data!M49</f>
        <v>6.9102846410024767</v>
      </c>
      <c r="C49" s="4">
        <f>Data!N49</f>
        <v>0.34625154351267551</v>
      </c>
    </row>
    <row r="50" spans="1:3" x14ac:dyDescent="0.2">
      <c r="A50" s="4">
        <f>Data!L50</f>
        <v>0.18479239883959939</v>
      </c>
      <c r="B50" s="10">
        <f>Data!M50</f>
        <v>4.4498966056967122</v>
      </c>
      <c r="C50" s="4">
        <f>Data!N50</f>
        <v>0.30257537012267921</v>
      </c>
    </row>
    <row r="51" spans="1:3" x14ac:dyDescent="0.2">
      <c r="A51" s="4">
        <f>Data!L51</f>
        <v>9.9897857119795777E-2</v>
      </c>
      <c r="B51" s="10">
        <f>Data!M51</f>
        <v>2.6334829746684498</v>
      </c>
      <c r="C51" s="4">
        <f>Data!N51</f>
        <v>0.25403672103000408</v>
      </c>
    </row>
    <row r="52" spans="1:3" x14ac:dyDescent="0.2">
      <c r="A52" s="4">
        <f>Data!L52</f>
        <v>0.27990155171090281</v>
      </c>
      <c r="B52" s="10">
        <f>Data!M52</f>
        <v>6.5150154200946098</v>
      </c>
      <c r="C52" s="4">
        <f>Data!N52</f>
        <v>0.3718495870650842</v>
      </c>
    </row>
    <row r="53" spans="1:3" x14ac:dyDescent="0.2">
      <c r="A53" s="4">
        <f>Data!L53</f>
        <v>0.17917733206862821</v>
      </c>
      <c r="B53" s="10">
        <f>Data!M53</f>
        <v>2.2397970835702168</v>
      </c>
      <c r="C53" s="4">
        <f>Data!N53</f>
        <v>0.26525404584659262</v>
      </c>
    </row>
    <row r="54" spans="1:3" x14ac:dyDescent="0.2">
      <c r="A54" s="4">
        <f>Data!L54</f>
        <v>0.16617445551725141</v>
      </c>
      <c r="B54" s="10">
        <f>Data!M54</f>
        <v>4.5019279208872431</v>
      </c>
      <c r="C54" s="4">
        <f>Data!N54</f>
        <v>0.28728976709457338</v>
      </c>
    </row>
    <row r="55" spans="1:3" x14ac:dyDescent="0.2">
      <c r="A55" s="4">
        <f>Data!L55</f>
        <v>0.27131122626152698</v>
      </c>
      <c r="B55" s="10">
        <f>Data!M55</f>
        <v>7.5553536437970177</v>
      </c>
      <c r="C55" s="4">
        <f>Data!N55</f>
        <v>0.35683679596408208</v>
      </c>
    </row>
    <row r="56" spans="1:3" x14ac:dyDescent="0.2">
      <c r="A56" s="4">
        <f>Data!L56</f>
        <v>0.16617445551725141</v>
      </c>
      <c r="B56" s="10">
        <f>Data!M56</f>
        <v>2.6334829746684498</v>
      </c>
      <c r="C56" s="4">
        <f>Data!N56</f>
        <v>0.24060566113363149</v>
      </c>
    </row>
    <row r="57" spans="1:3" x14ac:dyDescent="0.2">
      <c r="A57" s="4">
        <f>Data!L57</f>
        <v>0.28372444382937562</v>
      </c>
      <c r="B57" s="10">
        <f>Data!M57</f>
        <v>8.3742832701451295</v>
      </c>
      <c r="C57" s="4">
        <f>Data!N57</f>
        <v>0.39777191437161191</v>
      </c>
    </row>
    <row r="58" spans="1:3" x14ac:dyDescent="0.2">
      <c r="A58" s="4">
        <f>Data!L58</f>
        <v>0.23905291654922339</v>
      </c>
      <c r="B58" s="10">
        <f>Data!M58</f>
        <v>5.7331964921936969</v>
      </c>
      <c r="C58" s="4">
        <f>Data!N58</f>
        <v>0.33006229745372762</v>
      </c>
    </row>
    <row r="59" spans="1:3" x14ac:dyDescent="0.2">
      <c r="A59" s="4">
        <f>Data!L59</f>
        <v>0.18491415701193711</v>
      </c>
      <c r="B59" s="10">
        <f>Data!M59</f>
        <v>4.0998690570415128</v>
      </c>
      <c r="C59" s="4">
        <f>Data!N59</f>
        <v>0.27643788341618669</v>
      </c>
    </row>
    <row r="60" spans="1:3" x14ac:dyDescent="0.2">
      <c r="A60" s="4">
        <f>Data!L60</f>
        <v>0.18491415701193711</v>
      </c>
      <c r="B60" s="10">
        <f>Data!M60</f>
        <v>3.9722661653266131</v>
      </c>
      <c r="C60" s="4">
        <f>Data!N60</f>
        <v>0.2743413460545816</v>
      </c>
    </row>
    <row r="61" spans="1:3" x14ac:dyDescent="0.2">
      <c r="A61" s="4">
        <f>Data!L61</f>
        <v>0.2498381806947613</v>
      </c>
      <c r="B61" s="10">
        <f>Data!M61</f>
        <v>6.4232297561777791</v>
      </c>
      <c r="C61" s="4">
        <f>Data!N61</f>
        <v>0.34042130162395873</v>
      </c>
    </row>
    <row r="62" spans="1:3" x14ac:dyDescent="0.2">
      <c r="A62" s="4">
        <f>Data!L62</f>
        <v>9.9897857119795777E-2</v>
      </c>
      <c r="B62" s="10">
        <f>Data!M62</f>
        <v>2.6042442148223031</v>
      </c>
      <c r="C62" s="4">
        <f>Data!N62</f>
        <v>0.19223505408993111</v>
      </c>
    </row>
    <row r="63" spans="1:3" x14ac:dyDescent="0.2">
      <c r="A63" s="4">
        <f>Data!L63</f>
        <v>0.22905363271008869</v>
      </c>
      <c r="B63" s="10">
        <f>Data!M63</f>
        <v>5.622500309087072</v>
      </c>
      <c r="C63" s="4">
        <f>Data!N63</f>
        <v>0.32266433225341751</v>
      </c>
    </row>
    <row r="64" spans="1:3" x14ac:dyDescent="0.2">
      <c r="A64" s="4">
        <f>Data!L64</f>
        <v>9.9897857119795777E-2</v>
      </c>
      <c r="B64" s="10">
        <f>Data!M64</f>
        <v>2.6042442148223031</v>
      </c>
      <c r="C64" s="4">
        <f>Data!N64</f>
        <v>0.18679294537118299</v>
      </c>
    </row>
    <row r="65" spans="1:3" x14ac:dyDescent="0.2">
      <c r="A65" s="4">
        <f>Data!L65</f>
        <v>0.22561918398743461</v>
      </c>
      <c r="B65" s="10">
        <f>Data!M65</f>
        <v>4.7441648170384667</v>
      </c>
      <c r="C65" s="4">
        <f>Data!N65</f>
        <v>0.31044692368482418</v>
      </c>
    </row>
    <row r="66" spans="1:3" x14ac:dyDescent="0.2">
      <c r="A66" s="4">
        <f>Data!L66</f>
        <v>7.3005509594202878E-2</v>
      </c>
      <c r="B66" s="10">
        <f>Data!M66</f>
        <v>2.750715816324262</v>
      </c>
      <c r="C66" s="4">
        <f>Data!N66</f>
        <v>0.25202637409654721</v>
      </c>
    </row>
    <row r="67" spans="1:3" x14ac:dyDescent="0.2">
      <c r="A67" s="4">
        <f>Data!L67</f>
        <v>0.27990155171090281</v>
      </c>
      <c r="B67" s="10">
        <f>Data!M67</f>
        <v>6.4350845115919242</v>
      </c>
      <c r="C67" s="4">
        <f>Data!N67</f>
        <v>0.37123395995440062</v>
      </c>
    </row>
    <row r="68" spans="1:3" x14ac:dyDescent="0.2">
      <c r="A68" s="4">
        <f>Data!L68</f>
        <v>0.24660854919634351</v>
      </c>
      <c r="B68" s="10">
        <f>Data!M68</f>
        <v>5.7681308978786143</v>
      </c>
      <c r="C68" s="4">
        <f>Data!N68</f>
        <v>0.33292245175206381</v>
      </c>
    </row>
    <row r="69" spans="1:3" x14ac:dyDescent="0.2">
      <c r="A69" s="4">
        <f>Data!L69</f>
        <v>0.23270681750057659</v>
      </c>
      <c r="B69" s="10">
        <f>Data!M69</f>
        <v>5.6646280239591844</v>
      </c>
      <c r="C69" s="4">
        <f>Data!N69</f>
        <v>0.32581869835967092</v>
      </c>
    </row>
    <row r="70" spans="1:3" x14ac:dyDescent="0.2">
      <c r="A70" s="4">
        <f>Data!L70</f>
        <v>0.18491415701193711</v>
      </c>
      <c r="B70" s="10">
        <f>Data!M70</f>
        <v>4.4611863311108841</v>
      </c>
      <c r="C70" s="4">
        <f>Data!N70</f>
        <v>0.30329966544333942</v>
      </c>
    </row>
    <row r="71" spans="1:3" x14ac:dyDescent="0.2">
      <c r="A71" s="4">
        <f>Data!L71</f>
        <v>9.9897857119795777E-2</v>
      </c>
      <c r="B71" s="10">
        <f>Data!M71</f>
        <v>2.6334829746684498</v>
      </c>
      <c r="C71" s="4">
        <f>Data!N71</f>
        <v>0.20414723507989471</v>
      </c>
    </row>
    <row r="72" spans="1:3" x14ac:dyDescent="0.2">
      <c r="A72" s="4">
        <f>Data!L72</f>
        <v>0.17917733206862821</v>
      </c>
      <c r="B72" s="10">
        <f>Data!M72</f>
        <v>4.5020717030418531</v>
      </c>
      <c r="C72" s="4">
        <f>Data!N72</f>
        <v>0.28948886558907888</v>
      </c>
    </row>
    <row r="73" spans="1:3" x14ac:dyDescent="0.2">
      <c r="A73" s="4">
        <f>Data!L73</f>
        <v>0.18491415701193711</v>
      </c>
      <c r="B73" s="10">
        <f>Data!M73</f>
        <v>4.4498966056967122</v>
      </c>
      <c r="C73" s="4">
        <f>Data!N73</f>
        <v>0.28054417581680913</v>
      </c>
    </row>
    <row r="74" spans="1:3" x14ac:dyDescent="0.2">
      <c r="A74" s="4">
        <f>Data!L74</f>
        <v>0.1810031805337412</v>
      </c>
      <c r="B74" s="10">
        <f>Data!M74</f>
        <v>4.5580608009335544</v>
      </c>
      <c r="C74" s="4">
        <f>Data!N74</f>
        <v>0.29284631491392171</v>
      </c>
    </row>
    <row r="75" spans="1:3" x14ac:dyDescent="0.2">
      <c r="A75" s="4">
        <f>Data!L75</f>
        <v>9.9897857119795777E-2</v>
      </c>
      <c r="B75" s="10">
        <f>Data!M75</f>
        <v>2.6334829746684498</v>
      </c>
      <c r="C75" s="4">
        <f>Data!N75</f>
        <v>0.20187766616909419</v>
      </c>
    </row>
    <row r="76" spans="1:3" x14ac:dyDescent="0.2">
      <c r="A76" s="4">
        <f>Data!L76</f>
        <v>9.9897857119795777E-2</v>
      </c>
      <c r="B76" s="10">
        <f>Data!M76</f>
        <v>2.391060998990294</v>
      </c>
      <c r="C76" s="4">
        <f>Data!N76</f>
        <v>0.2248782794162171</v>
      </c>
    </row>
    <row r="77" spans="1:3" x14ac:dyDescent="0.2">
      <c r="A77" s="4">
        <f>Data!L77</f>
        <v>7.3005509594202878E-2</v>
      </c>
      <c r="B77" s="10">
        <f>Data!M77</f>
        <v>2.2397970835702168</v>
      </c>
      <c r="C77" s="4">
        <f>Data!N77</f>
        <v>0.22107462398711211</v>
      </c>
    </row>
    <row r="78" spans="1:3" x14ac:dyDescent="0.2">
      <c r="A78" s="4">
        <f>Data!L78</f>
        <v>9.9897857119795777E-2</v>
      </c>
      <c r="B78" s="10">
        <f>Data!M78</f>
        <v>2.6334829746684498</v>
      </c>
      <c r="C78" s="4">
        <f>Data!N78</f>
        <v>0.19529177275776979</v>
      </c>
    </row>
    <row r="79" spans="1:3" x14ac:dyDescent="0.2">
      <c r="A79" s="4">
        <f>Data!L79</f>
        <v>9.9897857119795777E-2</v>
      </c>
      <c r="B79" s="10">
        <f>Data!M79</f>
        <v>2.750715816324262</v>
      </c>
      <c r="C79" s="4">
        <f>Data!N79</f>
        <v>0.25414415926475448</v>
      </c>
    </row>
    <row r="80" spans="1:3" x14ac:dyDescent="0.2">
      <c r="A80" s="4">
        <f>Data!L80</f>
        <v>0.35185508179490538</v>
      </c>
      <c r="B80" s="10">
        <f>Data!M80</f>
        <v>9.1214958497639742</v>
      </c>
      <c r="C80" s="4">
        <f>Data!N80</f>
        <v>0.41063671974599147</v>
      </c>
    </row>
    <row r="81" spans="1:3" x14ac:dyDescent="0.2">
      <c r="A81" s="4">
        <f>Data!L81</f>
        <v>0.24660854919634351</v>
      </c>
      <c r="B81" s="10">
        <f>Data!M81</f>
        <v>6.0080930310356884</v>
      </c>
      <c r="C81" s="4">
        <f>Data!N81</f>
        <v>0.33781935185684459</v>
      </c>
    </row>
    <row r="82" spans="1:3" x14ac:dyDescent="0.2">
      <c r="A82" s="4">
        <f>Data!L82</f>
        <v>9.9897857119795777E-2</v>
      </c>
      <c r="B82" s="10">
        <f>Data!M82</f>
        <v>4.4611863311108841</v>
      </c>
      <c r="C82" s="4">
        <f>Data!N82</f>
        <v>0.28215109754040218</v>
      </c>
    </row>
    <row r="83" spans="1:3" x14ac:dyDescent="0.2">
      <c r="A83" s="4">
        <f>Data!L83</f>
        <v>9.9897857119795777E-2</v>
      </c>
      <c r="B83" s="10">
        <f>Data!M83</f>
        <v>4.5019279208872431</v>
      </c>
      <c r="C83" s="4">
        <f>Data!N83</f>
        <v>0.28620642158906862</v>
      </c>
    </row>
    <row r="84" spans="1:3" x14ac:dyDescent="0.2">
      <c r="A84" s="4">
        <f>Data!L84</f>
        <v>0.22905363271008869</v>
      </c>
      <c r="B84" s="10">
        <f>Data!M84</f>
        <v>5.4069272717344461</v>
      </c>
      <c r="C84" s="4">
        <f>Data!N84</f>
        <v>0.31094851703248888</v>
      </c>
    </row>
    <row r="85" spans="1:3" x14ac:dyDescent="0.2">
      <c r="A85" s="4">
        <f>Data!L85</f>
        <v>0.27990155171090281</v>
      </c>
      <c r="B85" s="10">
        <f>Data!M85</f>
        <v>6.4232297561777791</v>
      </c>
      <c r="C85" s="4">
        <f>Data!N85</f>
        <v>0.36288404833129961</v>
      </c>
    </row>
    <row r="86" spans="1:3" x14ac:dyDescent="0.2">
      <c r="A86" s="4">
        <f>Data!L86</f>
        <v>0.28372444382937562</v>
      </c>
      <c r="B86" s="10">
        <f>Data!M86</f>
        <v>8.2899354270025682</v>
      </c>
      <c r="C86" s="4">
        <f>Data!N86</f>
        <v>0.39096878987349809</v>
      </c>
    </row>
    <row r="87" spans="1:3" x14ac:dyDescent="0.2">
      <c r="A87" s="4">
        <f>Data!L87</f>
        <v>0.18424365288556879</v>
      </c>
      <c r="B87" s="10">
        <f>Data!M87</f>
        <v>4.4498966056967122</v>
      </c>
      <c r="C87" s="4">
        <f>Data!N87</f>
        <v>0.30025139260575129</v>
      </c>
    </row>
    <row r="88" spans="1:3" x14ac:dyDescent="0.2">
      <c r="A88" s="4">
        <f>Data!L88</f>
        <v>0.22905363271008869</v>
      </c>
      <c r="B88" s="10">
        <f>Data!M88</f>
        <v>5.4279598214684439</v>
      </c>
      <c r="C88" s="4">
        <f>Data!N88</f>
        <v>0.31869611368775308</v>
      </c>
    </row>
    <row r="89" spans="1:3" x14ac:dyDescent="0.2">
      <c r="A89" s="4">
        <f>Data!L89</f>
        <v>0.25577787661114959</v>
      </c>
      <c r="B89" s="10">
        <f>Data!M89</f>
        <v>6.763279513898901</v>
      </c>
      <c r="C89" s="4">
        <f>Data!N89</f>
        <v>0.34442553880212762</v>
      </c>
    </row>
    <row r="90" spans="1:3" x14ac:dyDescent="0.2">
      <c r="A90" s="4">
        <f>Data!L90</f>
        <v>9.9897857119795777E-2</v>
      </c>
      <c r="B90" s="10">
        <f>Data!M90</f>
        <v>2.2344005380713279</v>
      </c>
      <c r="C90" s="4">
        <f>Data!N90</f>
        <v>0.21289820988431221</v>
      </c>
    </row>
    <row r="91" spans="1:3" x14ac:dyDescent="0.2">
      <c r="A91" s="4">
        <f>Data!L91</f>
        <v>0.18424365288556879</v>
      </c>
      <c r="B91" s="10">
        <f>Data!M91</f>
        <v>3.028547907328913</v>
      </c>
      <c r="C91" s="4">
        <f>Data!N91</f>
        <v>0.27060515784716049</v>
      </c>
    </row>
    <row r="92" spans="1:3" x14ac:dyDescent="0.2">
      <c r="A92" s="4">
        <f>Data!L92</f>
        <v>0.24660854919634351</v>
      </c>
      <c r="B92" s="10">
        <f>Data!M92</f>
        <v>6.0288776681174978</v>
      </c>
      <c r="C92" s="4">
        <f>Data!N92</f>
        <v>0.33856809984859187</v>
      </c>
    </row>
    <row r="93" spans="1:3" x14ac:dyDescent="0.2">
      <c r="A93" s="4">
        <f>Data!L93</f>
        <v>9.9897857119795777E-2</v>
      </c>
      <c r="B93" s="10">
        <f>Data!M93</f>
        <v>2.2344005380713279</v>
      </c>
      <c r="C93" s="4">
        <f>Data!N93</f>
        <v>0.21906150646039199</v>
      </c>
    </row>
    <row r="94" spans="1:3" x14ac:dyDescent="0.2">
      <c r="A94" s="4">
        <f>Data!L94</f>
        <v>0.16617445551725141</v>
      </c>
      <c r="B94" s="10">
        <f>Data!M94</f>
        <v>2.750715816324262</v>
      </c>
      <c r="C94" s="4">
        <f>Data!N94</f>
        <v>0.24923385254589181</v>
      </c>
    </row>
    <row r="95" spans="1:3" x14ac:dyDescent="0.2">
      <c r="A95" s="4">
        <f>Data!L95</f>
        <v>9.9897857119795777E-2</v>
      </c>
      <c r="B95" s="10">
        <f>Data!M95</f>
        <v>2.6042442148223031</v>
      </c>
      <c r="C95" s="4">
        <f>Data!N95</f>
        <v>0.23429928415438989</v>
      </c>
    </row>
    <row r="96" spans="1:3" x14ac:dyDescent="0.2">
      <c r="A96" s="4">
        <f>Data!L96</f>
        <v>0.18251118457953991</v>
      </c>
      <c r="B96" s="10">
        <f>Data!M96</f>
        <v>3.028547907328913</v>
      </c>
      <c r="C96" s="4">
        <f>Data!N96</f>
        <v>0.26977427974324081</v>
      </c>
    </row>
    <row r="97" spans="1:3" x14ac:dyDescent="0.2">
      <c r="A97" s="4">
        <f>Data!L97</f>
        <v>7.0450973374120401E-2</v>
      </c>
      <c r="B97" s="10">
        <f>Data!M97</f>
        <v>1</v>
      </c>
      <c r="C97" s="4">
        <f>Data!N97</f>
        <v>0.1227218508002173</v>
      </c>
    </row>
    <row r="98" spans="1:3" x14ac:dyDescent="0.2">
      <c r="A98" s="4">
        <f>Data!L98</f>
        <v>0.25577787661114959</v>
      </c>
      <c r="B98" s="10">
        <f>Data!M98</f>
        <v>6.5150154200946098</v>
      </c>
      <c r="C98" s="4">
        <f>Data!N98</f>
        <v>0.34288763100419523</v>
      </c>
    </row>
    <row r="99" spans="1:3" x14ac:dyDescent="0.2">
      <c r="A99" s="4">
        <f>Data!L99</f>
        <v>0.16617445551725141</v>
      </c>
      <c r="B99" s="10">
        <f>Data!M99</f>
        <v>2.6334829746684498</v>
      </c>
      <c r="C99" s="4">
        <f>Data!N99</f>
        <v>0.24580046742972819</v>
      </c>
    </row>
    <row r="100" spans="1:3" x14ac:dyDescent="0.2">
      <c r="A100" s="4">
        <f>Data!L100</f>
        <v>0.18251118457953991</v>
      </c>
      <c r="B100" s="10">
        <f>Data!M100</f>
        <v>2.9295153551612518</v>
      </c>
      <c r="C100" s="4">
        <f>Data!N100</f>
        <v>0.26928534750742977</v>
      </c>
    </row>
    <row r="101" spans="1:3" x14ac:dyDescent="0.2">
      <c r="A101" s="4">
        <f>Data!L101</f>
        <v>9.9897857119795777E-2</v>
      </c>
      <c r="B101" s="10">
        <f>Data!M101</f>
        <v>2.6042442148223031</v>
      </c>
      <c r="C101" s="4">
        <f>Data!N101</f>
        <v>0.23183287709095979</v>
      </c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2024-02-28T12:51:25Z</dcterms:created>
  <dcterms:modified xsi:type="dcterms:W3CDTF">2024-02-29T14:16:42Z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