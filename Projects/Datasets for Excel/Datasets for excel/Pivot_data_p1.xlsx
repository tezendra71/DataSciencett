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15ADDF59-E639-4581-AA58-3C4C2B4B9650}" xr6:coauthVersionLast="47" xr6:coauthVersionMax="47" xr10:uidLastSave="{00000000-0000-0000-0000-000000000000}"/>
  <bookViews>
    <workbookView xWindow="-109" yWindow="-109" windowWidth="26301" windowHeight="16520" xr2:uid="{03E43F0D-F947-F64B-9D7E-764189E7D68D}"/>
  </bookViews>
  <sheets>
    <sheet name="Sheet1" sheetId="6" r:id="rId1"/>
    <sheet name="Data" sheetId="1" r:id="rId2"/>
    <sheet name="PVT Analysis 1" sheetId="2" r:id="rId3"/>
    <sheet name="PVT Analysis 2" sheetId="3" r:id="rId4"/>
    <sheet name="PVT Analysis 3" sheetId="5" r:id="rId5"/>
  </sheets>
  <definedNames>
    <definedName name="_xlnm._FilterDatabase" localSheetId="1" hidden="1">Data!$A$1:$L$101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E5" i="6"/>
  <c r="E4" i="6"/>
  <c r="D6" i="6"/>
  <c r="D5" i="6"/>
  <c r="D4" i="6"/>
</calcChain>
</file>

<file path=xl/sharedStrings.xml><?xml version="1.0" encoding="utf-8"?>
<sst xmlns="http://schemas.openxmlformats.org/spreadsheetml/2006/main" count="785" uniqueCount="62">
  <si>
    <t>Product_Category</t>
  </si>
  <si>
    <t>Customer_Segment</t>
  </si>
  <si>
    <t>Payment_Method</t>
  </si>
  <si>
    <t>Region</t>
  </si>
  <si>
    <t>Sales_Channel</t>
  </si>
  <si>
    <t>Order_Status</t>
  </si>
  <si>
    <t>Quantity_Sold</t>
  </si>
  <si>
    <t>Discount_Rate</t>
  </si>
  <si>
    <t>Profit_Margin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</si>
  <si>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</si>
  <si>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</si>
  <si>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</si>
  <si>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</si>
  <si>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</si>
  <si>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</si>
  <si>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</si>
  <si>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</si>
  <si>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</si>
  <si>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</si>
  <si>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</si>
  <si>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</si>
  <si>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</si>
  <si>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</si>
  <si>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</si>
  <si>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</si>
  <si>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</si>
  <si>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</si>
  <si>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</si>
  <si>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</si>
  <si>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</si>
  <si>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</si>
  <si>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</si>
  <si>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</si>
  <si>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</si>
  <si>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</si>
  <si>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</si>
  <si>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</si>
  <si>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</si>
  <si>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</si>
  <si>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</si>
  <si>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</si>
  <si>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</si>
  <si>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</si>
  <si>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</si>
  <si>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</si>
  <si>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Question</t>
  </si>
  <si>
    <t>Sale_Amount</t>
  </si>
  <si>
    <t>Find the average discount rate, and profit margin for each product category</t>
  </si>
  <si>
    <t>Find the average sale, and quantity sold by Regions for each product category</t>
  </si>
  <si>
    <t>Find the total number of transactions made and quantity sold via each sales channel</t>
  </si>
  <si>
    <t>Column Labels</t>
  </si>
  <si>
    <t>Grand Total</t>
  </si>
  <si>
    <t>Values</t>
  </si>
  <si>
    <t>Average of Discount_Rate</t>
  </si>
  <si>
    <t>Average of Profit_Margin</t>
  </si>
  <si>
    <t>Row Labels</t>
  </si>
  <si>
    <t>Sum of Quantity_Sold</t>
  </si>
  <si>
    <t>Average of Sale_Amount</t>
  </si>
  <si>
    <t>Average of Quantity_Sold</t>
  </si>
  <si>
    <t>Count of Sales_Channel</t>
  </si>
  <si>
    <t>Sum of Profit_Margin</t>
  </si>
  <si>
    <t>Sum of Sale_Amount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</si>
</sst>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2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9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 applyAlignment="1">
      <alignment horizontal="left" vertical="center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4">
    <dxf>
      <numFmt numFmtId="1" formatCode="0"/>
    </dxf>
    <dxf>
      <numFmt numFmtId="2" formatCode="0.00"/>
    </dxf>
    <dxf>
      <numFmt numFmtId="13" formatCode="0%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50.936577314817" createdVersion="8" refreshedVersion="8" minRefreshableVersion="3" recordCount="100" xr:uid="{C88431EB-8094-634D-B37F-7F5CCEE7E9C9}">
  <cacheSource type="worksheet">
    <worksheetSource ref="A1:L101" sheet="Data"/>
  </cacheSource>
  <cacheFields count="12">
    <cacheField name="Product_Category" numFmtId="0">
      <sharedItems count="5">
        <s v="Electronics"/>
        <s v="Clothing"/>
        <s v="Home &amp; Kitchen"/>
        <s v="Sports &amp; Outdoors"/>
        <s v="Beauty &amp; Health"/>
      </sharedItems>
    </cacheField>
    <cacheField name="Customer_Segment" numFmtId="0">
      <sharedItems count="3">
        <s v="Individual"/>
        <s v="Business"/>
        <s v="Wholesale"/>
      </sharedItems>
    </cacheField>
    <cacheField name="Payment_Method" numFmtId="0">
      <sharedItems count="4">
        <s v="Credit Card"/>
        <s v="Bank Transfer"/>
        <s v="Cash"/>
        <s v="PayPal"/>
      </sharedItems>
    </cacheField>
    <cacheField name="Region" numFmtId="0">
      <sharedItems count="4">
        <s v="South"/>
        <s v="East"/>
        <s v="North"/>
        <s v="West"/>
      </sharedItems>
    </cacheField>
    <cacheField name="Sales_Channel" numFmtId="0">
      <sharedItems count="4">
        <s v="Online"/>
        <s v="Catalog"/>
        <s v="Phone"/>
        <s v="In-store"/>
      </sharedItems>
    </cacheField>
    <cacheField name="Order_Status" numFmtId="0">
      <sharedItems/>
    </cacheField>
    <cacheField name="Sale_Amount" numFmtId="2">
      <sharedItems containsSemiMixedTypes="0" containsString="0" containsNumber="1" minValue="0" maxValue="870.45563690178756"/>
    </cacheField>
    <cacheField name="Quantity_Sold" numFmtId="1">
      <sharedItems containsSemiMixedTypes="0" containsString="0" containsNumber="1" minValue="11.624575694019169" maxValue="104.4033833317924"/>
    </cacheField>
    <cacheField name="Discount_Rate" numFmtId="2">
      <sharedItems containsSemiMixedTypes="0" containsString="0" containsNumber="1" minValue="0" maxValue="0.29263657453273612"/>
    </cacheField>
    <cacheField name="Profit_Margin" numFmtId="2">
      <sharedItems containsSemiMixedTypes="0" containsString="0" containsNumber="1" minValue="0" maxValue="0.41898029332176723"/>
    </cacheField>
    <cacheField name="Delivery_Days" numFmtId="2">
      <sharedItems containsSemiMixedTypes="0" containsString="0" containsNumber="1" minValue="1" maxValue="11.157761616910481"/>
    </cacheField>
    <cacheField name="City" numFmtId="2">
      <sharedItems count="10">
        <s v="San Jose"/>
        <s v="Los Angeles"/>
        <s v="San Diego"/>
        <s v="Philadelphia"/>
        <s v="Phoenix"/>
        <s v="Dallas"/>
        <s v="New York"/>
        <s v="San Antonio"/>
        <s v="Houston"/>
        <s v="Chicag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s v="Cancelled"/>
    <n v="599.34283060224652"/>
    <n v="21.692585158991719"/>
    <n v="0.1178893680174142"/>
    <n v="0.1171004989077928"/>
    <n v="1.811144682411266"/>
    <x v="0"/>
  </r>
  <r>
    <x v="1"/>
    <x v="1"/>
    <x v="1"/>
    <x v="1"/>
    <x v="0"/>
    <s v="Completed"/>
    <n v="472.34713976576307"/>
    <n v="41.58709354469282"/>
    <n v="0.12803922631841169"/>
    <n v="0.14398189598030309"/>
    <n v="3.8012499540924538"/>
    <x v="1"/>
  </r>
  <r>
    <x v="2"/>
    <x v="2"/>
    <x v="1"/>
    <x v="2"/>
    <x v="0"/>
    <s v="Cancelled"/>
    <n v="629.53770762013846"/>
    <n v="43.145709669464608"/>
    <n v="0.15415256215876391"/>
    <n v="0.27472936051232622"/>
    <n v="5.0104873994363661"/>
    <x v="2"/>
  </r>
  <r>
    <x v="3"/>
    <x v="2"/>
    <x v="0"/>
    <x v="1"/>
    <x v="1"/>
    <s v="Returned"/>
    <n v="804.60597128160509"/>
    <n v="33.95445461556762"/>
    <n v="0.15269010260174509"/>
    <n v="0.26103702654334648"/>
    <n v="5.0939611875294837"/>
    <x v="3"/>
  </r>
  <r>
    <x v="0"/>
    <x v="1"/>
    <x v="2"/>
    <x v="0"/>
    <x v="2"/>
    <s v="Pending"/>
    <n v="453.16932505533282"/>
    <n v="46.774285766679817"/>
    <n v="3.1116531602145451E-2"/>
    <n v="0.19790984060358521"/>
    <n v="4.0998690570415128"/>
    <x v="4"/>
  </r>
  <r>
    <x v="0"/>
    <x v="0"/>
    <x v="1"/>
    <x v="0"/>
    <x v="3"/>
    <s v="Cancelled"/>
    <n v="453.17260861016388"/>
    <n v="58.081017136290768"/>
    <n v="5.3108748004243873E-2"/>
    <n v="0.21173273833087819"/>
    <n v="6.2456998646949966"/>
    <x v="5"/>
  </r>
  <r>
    <x v="0"/>
    <x v="2"/>
    <x v="2"/>
    <x v="3"/>
    <x v="0"/>
    <s v="Cancelled"/>
    <n v="815.84256310147828"/>
    <n v="87.723718024210598"/>
    <n v="0.12575176336043301"/>
    <n v="0.32776648957884252"/>
    <n v="2.8647591412348108"/>
    <x v="6"/>
  </r>
  <r>
    <x v="0"/>
    <x v="0"/>
    <x v="3"/>
    <x v="2"/>
    <x v="1"/>
    <s v="Returned"/>
    <n v="653.48694583058182"/>
    <n v="53.491556256636777"/>
    <n v="0.12568929754561051"/>
    <n v="0.140842861116417"/>
    <n v="4.7152410299574132"/>
    <x v="4"/>
  </r>
  <r>
    <x v="0"/>
    <x v="0"/>
    <x v="1"/>
    <x v="0"/>
    <x v="1"/>
    <s v="Cancelled"/>
    <n v="406.10512281300959"/>
    <n v="55.151007814455284"/>
    <n v="0.12575238431530239"/>
    <n v="0.25470973811700381"/>
    <n v="5.2405912634237977"/>
    <x v="3"/>
  </r>
  <r>
    <x v="1"/>
    <x v="2"/>
    <x v="2"/>
    <x v="3"/>
    <x v="1"/>
    <s v="Cancelled"/>
    <n v="608.51200871719288"/>
    <n v="48.511081684676647"/>
    <n v="0.29263657453273612"/>
    <n v="0.17978073475661061"/>
    <n v="6.0288776681174978"/>
    <x v="4"/>
  </r>
  <r>
    <x v="3"/>
    <x v="0"/>
    <x v="2"/>
    <x v="2"/>
    <x v="3"/>
    <s v="Returned"/>
    <n v="407.31646143750748"/>
    <n v="11.624575694019169"/>
    <n v="0.12854452553465839"/>
    <n v="0.17823187967727799"/>
    <n v="6.4232297561777791"/>
    <x v="3"/>
  </r>
  <r>
    <x v="2"/>
    <x v="2"/>
    <x v="3"/>
    <x v="0"/>
    <x v="0"/>
    <s v="Completed"/>
    <n v="406.85404928594858"/>
    <n v="49.469722491015659"/>
    <n v="0.15677828200902999"/>
    <n v="0.30987768519871911"/>
    <n v="2.750715816324262"/>
    <x v="3"/>
  </r>
  <r>
    <x v="2"/>
    <x v="0"/>
    <x v="2"/>
    <x v="0"/>
    <x v="2"/>
    <s v="Returned"/>
    <n v="548.39245431320683"/>
    <n v="51.204604198820533"/>
    <n v="0.1477000881746601"/>
    <n v="0.28254163489880302"/>
    <n v="1.931771658528755"/>
    <x v="7"/>
  </r>
  <r>
    <x v="2"/>
    <x v="2"/>
    <x v="2"/>
    <x v="2"/>
    <x v="2"/>
    <s v="Completed"/>
    <n v="117.3439510684404"/>
    <n v="99.264842249705723"/>
    <n v="0.1325695625652899"/>
    <n v="0.28135096360006379"/>
    <n v="7.5553536437970177"/>
    <x v="8"/>
  </r>
  <r>
    <x v="2"/>
    <x v="1"/>
    <x v="3"/>
    <x v="2"/>
    <x v="1"/>
    <s v="Pending"/>
    <n v="155.01643349739351"/>
    <n v="46.152780704377548"/>
    <n v="8.4236537767982719E-2"/>
    <n v="0.33054788071543301"/>
    <n v="5.6646280239591844"/>
    <x v="2"/>
  </r>
  <r>
    <x v="1"/>
    <x v="2"/>
    <x v="1"/>
    <x v="2"/>
    <x v="3"/>
    <s v="Completed"/>
    <n v="387.54249415180539"/>
    <n v="56.030946846672251"/>
    <n v="0.1379484610246634"/>
    <n v="0.20210038416327589"/>
    <n v="3.5030269268868932"/>
    <x v="7"/>
  </r>
  <r>
    <x v="4"/>
    <x v="2"/>
    <x v="2"/>
    <x v="0"/>
    <x v="3"/>
    <s v="Completed"/>
    <n v="297.43377593311533"/>
    <n v="49.305764605895128"/>
    <n v="6.135873927312141E-2"/>
    <n v="0.26819529712949641"/>
    <n v="8.1023039510450463"/>
    <x v="5"/>
  </r>
  <r>
    <x v="3"/>
    <x v="2"/>
    <x v="2"/>
    <x v="0"/>
    <x v="3"/>
    <s v="Pending"/>
    <n v="562.84946651905477"/>
    <n v="26.626439247609358"/>
    <n v="8.8159069662999565E-2"/>
    <n v="0.1689733243406544"/>
    <n v="5.231349268585717"/>
    <x v="7"/>
  </r>
  <r>
    <x v="0"/>
    <x v="2"/>
    <x v="2"/>
    <x v="3"/>
    <x v="2"/>
    <s v="Completed"/>
    <n v="318.39518489575778"/>
    <n v="72.856456290300414"/>
    <n v="7.573182260854483E-2"/>
    <n v="0.23241663524884421"/>
    <n v="7.3585943681276529"/>
    <x v="9"/>
  </r>
  <r>
    <x v="4"/>
    <x v="0"/>
    <x v="0"/>
    <x v="1"/>
    <x v="1"/>
    <s v="Returned"/>
    <n v="217.5392597329417"/>
    <n v="65.038660653735491"/>
    <n v="0.10409370696931609"/>
    <n v="0.18698569456323161"/>
    <n v="5.1350369628202177"/>
    <x v="9"/>
  </r>
  <r>
    <x v="2"/>
    <x v="1"/>
    <x v="3"/>
    <x v="2"/>
    <x v="0"/>
    <s v="Completed"/>
    <n v="793.12975378431088"/>
    <n v="65.820638940860931"/>
    <n v="0.21573292833367541"/>
    <n v="0.20969959649927181"/>
    <n v="9.1214958497639742"/>
    <x v="2"/>
  </r>
  <r>
    <x v="4"/>
    <x v="2"/>
    <x v="0"/>
    <x v="0"/>
    <x v="2"/>
    <s v="Pending"/>
    <n v="454.84473990269288"/>
    <n v="31.81225090410522"/>
    <n v="6.6367403704125916E-3"/>
    <n v="0.25951570254369138"/>
    <n v="8.5106816848864089"/>
    <x v="4"/>
  </r>
  <r>
    <x v="3"/>
    <x v="0"/>
    <x v="3"/>
    <x v="0"/>
    <x v="1"/>
    <s v="Returned"/>
    <n v="513.50564093758476"/>
    <n v="78.05588621872198"/>
    <n v="0.13431300951872571"/>
    <n v="0.11817793167665271"/>
    <n v="4.5020717030418531"/>
    <x v="8"/>
  </r>
  <r>
    <x v="0"/>
    <x v="1"/>
    <x v="1"/>
    <x v="2"/>
    <x v="1"/>
    <s v="Pending"/>
    <n v="215.05036275730859"/>
    <n v="21.96297874415438"/>
    <n v="1.936420644051742E-2"/>
    <n v="0.40923872756854612"/>
    <n v="6.9431419019087111"/>
    <x v="2"/>
  </r>
  <r>
    <x v="0"/>
    <x v="1"/>
    <x v="1"/>
    <x v="1"/>
    <x v="0"/>
    <s v="Pending"/>
    <n v="391.12345509496339"/>
    <n v="61.73714187600541"/>
    <n v="7.6403406710528338E-2"/>
    <n v="9.9398261850029812E-2"/>
    <n v="6.2907518991702949"/>
    <x v="3"/>
  </r>
  <r>
    <x v="3"/>
    <x v="1"/>
    <x v="2"/>
    <x v="2"/>
    <x v="0"/>
    <s v="Cancelled"/>
    <n v="522.18451794197324"/>
    <n v="93.809112516199576"/>
    <n v="0.15444752984836829"/>
    <n v="7.8581138721226795E-2"/>
    <n v="7.7372631150646978"/>
    <x v="1"/>
  </r>
  <r>
    <x v="3"/>
    <x v="1"/>
    <x v="3"/>
    <x v="1"/>
    <x v="0"/>
    <s v="Cancelled"/>
    <n v="269.80128451553952"/>
    <n v="30.189273497386228"/>
    <n v="0.10321400095477309"/>
    <n v="0.31581108735000679"/>
    <n v="3.070153078839791"/>
    <x v="8"/>
  </r>
  <r>
    <x v="2"/>
    <x v="2"/>
    <x v="1"/>
    <x v="0"/>
    <x v="3"/>
    <s v="Pending"/>
    <n v="575.13960366913443"/>
    <n v="38.674045407944561"/>
    <n v="4.6112761103534697E-2"/>
    <n v="0.27916626939629358"/>
    <n v="6.3721029199968786"/>
    <x v="8"/>
  </r>
  <r>
    <x v="0"/>
    <x v="2"/>
    <x v="3"/>
    <x v="1"/>
    <x v="0"/>
    <s v="Pending"/>
    <n v="379.87226201623901"/>
    <n v="51.993027301752832"/>
    <n v="6.4234814537001583E-2"/>
    <n v="0.26241198170521551"/>
    <n v="7.1168489736991756"/>
    <x v="3"/>
  </r>
  <r>
    <x v="4"/>
    <x v="0"/>
    <x v="1"/>
    <x v="3"/>
    <x v="1"/>
    <s v="Pending"/>
    <n v="441.661250041345"/>
    <n v="39.930486917676014"/>
    <n v="0.13397988744673381"/>
    <n v="0.26283455092642799"/>
    <n v="1.482521027153771"/>
    <x v="3"/>
  </r>
  <r>
    <x v="1"/>
    <x v="0"/>
    <x v="0"/>
    <x v="0"/>
    <x v="0"/>
    <s v="Cancelled"/>
    <n v="379.65867755412057"/>
    <n v="18.986731378677352"/>
    <n v="6.3481668414143169E-2"/>
    <n v="0.19877532271530851"/>
    <n v="2.6334829746684498"/>
    <x v="6"/>
  </r>
  <r>
    <x v="1"/>
    <x v="0"/>
    <x v="1"/>
    <x v="3"/>
    <x v="1"/>
    <s v="Cancelled"/>
    <n v="870.45563690178756"/>
    <n v="51.371259496120537"/>
    <n v="0.11082292947909871"/>
    <n v="0.1102745628514168"/>
    <n v="1"/>
    <x v="2"/>
  </r>
  <r>
    <x v="3"/>
    <x v="1"/>
    <x v="0"/>
    <x v="2"/>
    <x v="2"/>
    <s v="Completed"/>
    <n v="497.30055505241319"/>
    <n v="28.753925725477899"/>
    <n v="0.1022785919951907"/>
    <n v="0.20758045581937271"/>
    <n v="4.4611863311108841"/>
    <x v="3"/>
  </r>
  <r>
    <x v="2"/>
    <x v="1"/>
    <x v="1"/>
    <x v="2"/>
    <x v="3"/>
    <s v="Completed"/>
    <n v="288.45781420882003"/>
    <n v="59.471848612703631"/>
    <n v="6.7419982619709148E-2"/>
    <n v="0.13228382884878881"/>
    <n v="6.4350845115919242"/>
    <x v="9"/>
  </r>
  <r>
    <x v="1"/>
    <x v="2"/>
    <x v="2"/>
    <x v="2"/>
    <x v="2"/>
    <s v="Pending"/>
    <n v="664.50898242063784"/>
    <n v="31.611515315323938"/>
    <n v="0.2071972044662663"/>
    <n v="0.29751197334177509"/>
    <n v="8.0047141041920558"/>
    <x v="5"/>
  </r>
  <r>
    <x v="0"/>
    <x v="1"/>
    <x v="0"/>
    <x v="1"/>
    <x v="2"/>
    <s v="Returned"/>
    <n v="255.83127000579549"/>
    <n v="80.99868810035079"/>
    <n v="0.1316959511159006"/>
    <n v="0.18529426184978609"/>
    <n v="5.1481895608395503"/>
    <x v="1"/>
  </r>
  <r>
    <x v="3"/>
    <x v="1"/>
    <x v="1"/>
    <x v="0"/>
    <x v="1"/>
    <s v="Returned"/>
    <n v="541.77271900095104"/>
    <n v="34.334934153275263"/>
    <n v="0"/>
    <n v="0.11745028032074881"/>
    <n v="8.2572310911425841"/>
    <x v="2"/>
  </r>
  <r>
    <x v="4"/>
    <x v="1"/>
    <x v="2"/>
    <x v="2"/>
    <x v="2"/>
    <s v="Cancelled"/>
    <n v="108.06597522404491"/>
    <n v="43.558769675886488"/>
    <n v="0.1093227157384714"/>
    <n v="0.16786141583470071"/>
    <n v="2.2397970835702168"/>
    <x v="0"/>
  </r>
  <r>
    <x v="3"/>
    <x v="0"/>
    <x v="0"/>
    <x v="2"/>
    <x v="1"/>
    <s v="Cancelled"/>
    <n v="234.36279022031391"/>
    <n v="66.27034434739339"/>
    <n v="6.6910676761580606E-2"/>
    <n v="0.24129314542756239"/>
    <n v="1.5932351212896909"/>
    <x v="9"/>
  </r>
  <r>
    <x v="4"/>
    <x v="0"/>
    <x v="2"/>
    <x v="0"/>
    <x v="0"/>
    <s v="Cancelled"/>
    <n v="539.37224717382469"/>
    <n v="25.3827136713209"/>
    <n v="0.14262166673981119"/>
    <n v="0.14362754471960251"/>
    <n v="4.8889046022067628"/>
    <x v="4"/>
  </r>
  <r>
    <x v="3"/>
    <x v="2"/>
    <x v="3"/>
    <x v="2"/>
    <x v="0"/>
    <s v="Pending"/>
    <n v="647.69331599908207"/>
    <n v="54.549198692082591"/>
    <n v="6.037396307836497E-2"/>
    <n v="0.11777796044335689"/>
    <n v="5.7681308978786143"/>
    <x v="3"/>
  </r>
  <r>
    <x v="3"/>
    <x v="1"/>
    <x v="3"/>
    <x v="3"/>
    <x v="1"/>
    <s v="Returned"/>
    <n v="534.27365623799415"/>
    <n v="76.142855085648563"/>
    <n v="9.4263177926655062E-2"/>
    <n v="0.22436872114919121"/>
    <n v="4.9346105038118138"/>
    <x v="0"/>
  </r>
  <r>
    <x v="3"/>
    <x v="1"/>
    <x v="0"/>
    <x v="0"/>
    <x v="0"/>
    <s v="Completed"/>
    <n v="476.8703435223519"/>
    <n v="17.850335308775449"/>
    <n v="0.12524936394902289"/>
    <n v="0.2244966571108723"/>
    <n v="1"/>
    <x v="3"/>
  </r>
  <r>
    <x v="4"/>
    <x v="2"/>
    <x v="1"/>
    <x v="0"/>
    <x v="3"/>
    <s v="Pending"/>
    <n v="439.77926088214218"/>
    <n v="53.692677170646093"/>
    <n v="0.1432877597085061"/>
    <n v="0.149305682462887"/>
    <n v="4.8217599209744231"/>
    <x v="8"/>
  </r>
  <r>
    <x v="4"/>
    <x v="1"/>
    <x v="0"/>
    <x v="0"/>
    <x v="2"/>
    <s v="Completed"/>
    <n v="204.29560192651451"/>
    <n v="55.197655884968469"/>
    <n v="3.998517964721119E-2"/>
    <n v="0.1528961694381677"/>
    <n v="2.391060998990294"/>
    <x v="9"/>
  </r>
  <r>
    <x v="3"/>
    <x v="1"/>
    <x v="2"/>
    <x v="3"/>
    <x v="3"/>
    <s v="Completed"/>
    <n v="356.03115832105829"/>
    <n v="65.636457435546205"/>
    <n v="8.3274938207952592E-2"/>
    <n v="0.22320499373576361"/>
    <n v="6.3393450976600771"/>
    <x v="8"/>
  </r>
  <r>
    <x v="1"/>
    <x v="0"/>
    <x v="1"/>
    <x v="0"/>
    <x v="2"/>
    <s v="Pending"/>
    <n v="407.87224580804252"/>
    <n v="25.260985782438361"/>
    <n v="7.62527344419522E-2"/>
    <n v="5.5191565850267597E-2"/>
    <n v="5.7331964921936969"/>
    <x v="6"/>
  </r>
  <r>
    <x v="2"/>
    <x v="2"/>
    <x v="3"/>
    <x v="3"/>
    <x v="0"/>
    <s v="Completed"/>
    <n v="711.42444524378311"/>
    <n v="23.590867738314468"/>
    <n v="6.7333538371314408E-2"/>
    <n v="5.9253622562344482E-2"/>
    <n v="3.1202404273452902"/>
    <x v="8"/>
  </r>
  <r>
    <x v="2"/>
    <x v="2"/>
    <x v="1"/>
    <x v="0"/>
    <x v="3"/>
    <s v="Returned"/>
    <n v="568.72365791369225"/>
    <n v="60.438831312337953"/>
    <n v="0.18827271201405479"/>
    <n v="0.1281555778747564"/>
    <n v="3.9722661653266131"/>
    <x v="6"/>
  </r>
  <r>
    <x v="2"/>
    <x v="2"/>
    <x v="3"/>
    <x v="1"/>
    <x v="0"/>
    <s v="Completed"/>
    <n v="147.39196892745321"/>
    <n v="55.939693464663719"/>
    <n v="0.12024908554804779"/>
    <n v="0.17865528482881529"/>
    <n v="2.8815729562220969"/>
    <x v="6"/>
  </r>
  <r>
    <x v="4"/>
    <x v="2"/>
    <x v="1"/>
    <x v="2"/>
    <x v="2"/>
    <s v="Returned"/>
    <n v="564.81679387895906"/>
    <n v="55.009857006917528"/>
    <n v="3.6955802283247741E-2"/>
    <n v="0.23109075655980049"/>
    <n v="4.8746418054536562"/>
    <x v="0"/>
  </r>
  <r>
    <x v="4"/>
    <x v="0"/>
    <x v="1"/>
    <x v="1"/>
    <x v="1"/>
    <s v="Returned"/>
    <n v="422.98354391673672"/>
    <n v="56.928964189939506"/>
    <n v="0.14589309735273881"/>
    <n v="0.34753562169495522"/>
    <n v="6.9102846410024767"/>
    <x v="3"/>
  </r>
  <r>
    <x v="1"/>
    <x v="0"/>
    <x v="1"/>
    <x v="2"/>
    <x v="1"/>
    <s v="Returned"/>
    <n v="364.61559993880832"/>
    <n v="36.399505568430193"/>
    <n v="0.20610780985063171"/>
    <n v="0.28576596232020202"/>
    <n v="3.028547907328913"/>
    <x v="4"/>
  </r>
  <r>
    <x v="2"/>
    <x v="1"/>
    <x v="2"/>
    <x v="3"/>
    <x v="3"/>
    <s v="Cancelled"/>
    <n v="622.33525776817362"/>
    <n v="54.645073943220069"/>
    <n v="0.15162326302755741"/>
    <n v="0.18400614700365731"/>
    <n v="6.0080930310356884"/>
    <x v="8"/>
  </r>
  <r>
    <x v="2"/>
    <x v="1"/>
    <x v="2"/>
    <x v="1"/>
    <x v="0"/>
    <s v="Completed"/>
    <n v="706.19990449919021"/>
    <n v="55.861449465973621"/>
    <n v="2.403150170229933E-2"/>
    <n v="0.19809837920973111"/>
    <n v="3.939484763255118"/>
    <x v="9"/>
  </r>
  <r>
    <x v="3"/>
    <x v="1"/>
    <x v="0"/>
    <x v="0"/>
    <x v="0"/>
    <s v="Pending"/>
    <n v="686.25602382323973"/>
    <n v="35.712971639472642"/>
    <n v="7.5788296356687435E-2"/>
    <n v="9.9747063536219122E-2"/>
    <n v="3.4142543354753121"/>
    <x v="6"/>
  </r>
  <r>
    <x v="4"/>
    <x v="1"/>
    <x v="0"/>
    <x v="2"/>
    <x v="3"/>
    <s v="Pending"/>
    <n v="332.15649535547232"/>
    <n v="87.315490222895136"/>
    <n v="0.16334555745933119"/>
    <n v="0.198148686400761"/>
    <n v="4.7859392800908847"/>
    <x v="3"/>
  </r>
  <r>
    <x v="2"/>
    <x v="0"/>
    <x v="3"/>
    <x v="2"/>
    <x v="1"/>
    <s v="Completed"/>
    <n v="438.15752482975711"/>
    <n v="59.476658418235751"/>
    <n v="6.4616526719060957E-2"/>
    <n v="0.1711341361079862"/>
    <n v="2.9295153551612518"/>
    <x v="1"/>
  </r>
  <r>
    <x v="1"/>
    <x v="2"/>
    <x v="2"/>
    <x v="1"/>
    <x v="2"/>
    <s v="Cancelled"/>
    <n v="566.25268628071285"/>
    <n v="26.173930055947029"/>
    <n v="0.1221909714073114"/>
    <n v="0.23227185603380901"/>
    <n v="3.8927013893056359"/>
    <x v="2"/>
  </r>
  <r>
    <x v="1"/>
    <x v="0"/>
    <x v="3"/>
    <x v="3"/>
    <x v="3"/>
    <s v="Cancelled"/>
    <n v="695.10902542447184"/>
    <n v="63.131072172676603"/>
    <n v="0.13873170267146681"/>
    <n v="0.1172769056447677"/>
    <n v="2.6042442148223031"/>
    <x v="0"/>
  </r>
  <r>
    <x v="2"/>
    <x v="1"/>
    <x v="0"/>
    <x v="1"/>
    <x v="2"/>
    <s v="Returned"/>
    <n v="404.16515243094199"/>
    <n v="30.506366595453571"/>
    <n v="5.3653476421095858E-2"/>
    <n v="0.25193465142411731"/>
    <n v="8.929450265832779"/>
    <x v="4"/>
  </r>
  <r>
    <x v="4"/>
    <x v="0"/>
    <x v="3"/>
    <x v="3"/>
    <x v="1"/>
    <s v="Completed"/>
    <n v="462.86820466723663"/>
    <n v="65.741692074849041"/>
    <n v="9.7023732196910004E-2"/>
    <n v="0.35327389130025783"/>
    <n v="5.0705271039434576"/>
    <x v="7"/>
  </r>
  <r>
    <x v="1"/>
    <x v="2"/>
    <x v="0"/>
    <x v="3"/>
    <x v="0"/>
    <s v="Completed"/>
    <n v="278.73300519879427"/>
    <n v="73.171911580148077"/>
    <n v="0"/>
    <n v="0.18912398515431431"/>
    <n v="3.600548984014829"/>
    <x v="0"/>
  </r>
  <r>
    <x v="3"/>
    <x v="2"/>
    <x v="2"/>
    <x v="2"/>
    <x v="1"/>
    <s v="Pending"/>
    <n v="260.75867518386588"/>
    <n v="33.586353632965789"/>
    <n v="4.878061793328551E-2"/>
    <n v="0.24017117220989409"/>
    <n v="5.4279598214684439"/>
    <x v="1"/>
  </r>
  <r>
    <x v="1"/>
    <x v="0"/>
    <x v="1"/>
    <x v="1"/>
    <x v="3"/>
    <s v="Completed"/>
    <n v="662.50516447883956"/>
    <n v="69.267522584886436"/>
    <n v="8.7371592430341982E-2"/>
    <n v="0.26901439917111131"/>
    <n v="4.7753439006183402"/>
    <x v="2"/>
  </r>
  <r>
    <x v="0"/>
    <x v="0"/>
    <x v="2"/>
    <x v="1"/>
    <x v="0"/>
    <s v="Cancelled"/>
    <n v="771.24800571416461"/>
    <n v="58.255618538729962"/>
    <n v="3.7610840901757529E-2"/>
    <n v="0.1598779528114164"/>
    <n v="4.5580608009335544"/>
    <x v="1"/>
  </r>
  <r>
    <x v="0"/>
    <x v="0"/>
    <x v="3"/>
    <x v="3"/>
    <x v="3"/>
    <s v="Completed"/>
    <n v="485.59797568393321"/>
    <n v="66.441203199889799"/>
    <n v="0.18162056519658179"/>
    <n v="0.22240924818104171"/>
    <n v="6.22833340008685"/>
    <x v="8"/>
  </r>
  <r>
    <x v="4"/>
    <x v="1"/>
    <x v="3"/>
    <x v="1"/>
    <x v="3"/>
    <s v="Pending"/>
    <n v="700.7065795784049"/>
    <n v="87.93585965307895"/>
    <n v="2.849293110196836E-2"/>
    <n v="0.2012592400781795"/>
    <n v="6.5150154200946098"/>
    <x v="6"/>
  </r>
  <r>
    <x v="2"/>
    <x v="0"/>
    <x v="2"/>
    <x v="0"/>
    <x v="1"/>
    <s v="Returned"/>
    <n v="572.32720500952678"/>
    <n v="45.092237679942592"/>
    <n v="7.7997775665150815E-2"/>
    <n v="0.20976760985488321"/>
    <n v="3.9389977047789451"/>
    <x v="4"/>
  </r>
  <r>
    <x v="4"/>
    <x v="0"/>
    <x v="2"/>
    <x v="0"/>
    <x v="3"/>
    <s v="Pending"/>
    <n v="370.97604907897522"/>
    <n v="34.925276712850213"/>
    <n v="0.10653702886430461"/>
    <n v="0.1226990216144534"/>
    <n v="3.8483635187106402"/>
    <x v="5"/>
  </r>
  <r>
    <x v="4"/>
    <x v="0"/>
    <x v="0"/>
    <x v="1"/>
    <x v="1"/>
    <s v="Pending"/>
    <n v="572.27912110168279"/>
    <n v="32.209711407489543"/>
    <n v="0.17206366445330579"/>
    <n v="0.2024510174258943"/>
    <n v="4.4498966056967122"/>
    <x v="6"/>
  </r>
  <r>
    <x v="4"/>
    <x v="2"/>
    <x v="3"/>
    <x v="1"/>
    <x v="0"/>
    <s v="Returned"/>
    <n v="807.60731329319378"/>
    <n v="33.683794300691233"/>
    <n v="2.8206892441028031E-2"/>
    <n v="0.24979982912454499"/>
    <n v="1"/>
    <x v="5"/>
  </r>
  <r>
    <x v="4"/>
    <x v="2"/>
    <x v="3"/>
    <x v="3"/>
    <x v="1"/>
    <s v="Pending"/>
    <n v="492.83479217800971"/>
    <n v="48.457965811717919"/>
    <n v="0.158158187607748"/>
    <n v="0.34511436077950419"/>
    <n v="1.969617875602895"/>
    <x v="2"/>
  </r>
  <r>
    <x v="3"/>
    <x v="1"/>
    <x v="2"/>
    <x v="0"/>
    <x v="0"/>
    <s v="Pending"/>
    <n v="812.92873116280123"/>
    <n v="56.823039496332868"/>
    <n v="0.10051165305097939"/>
    <n v="0.29592708260852069"/>
    <n v="7.7337485348890489"/>
    <x v="3"/>
  </r>
  <r>
    <x v="3"/>
    <x v="1"/>
    <x v="1"/>
    <x v="0"/>
    <x v="1"/>
    <s v="Completed"/>
    <n v="0"/>
    <n v="55.533815986600381"/>
    <n v="5.0924567447602459E-2"/>
    <n v="0.41531824575115572"/>
    <n v="8.2899354270025682"/>
    <x v="7"/>
  </r>
  <r>
    <x v="1"/>
    <x v="2"/>
    <x v="3"/>
    <x v="2"/>
    <x v="2"/>
    <s v="Completed"/>
    <n v="664.38050087504473"/>
    <n v="66.543664980720479"/>
    <n v="0.1231051737131635"/>
    <n v="0.1232652437111951"/>
    <n v="4.5019279208872431"/>
    <x v="9"/>
  </r>
  <r>
    <x v="0"/>
    <x v="2"/>
    <x v="1"/>
    <x v="3"/>
    <x v="2"/>
    <s v="Returned"/>
    <n v="517.40941364763421"/>
    <n v="50.260037837558137"/>
    <n v="0.1099529847786735"/>
    <n v="0.28723206367206783"/>
    <n v="6.1531139261115326"/>
    <x v="6"/>
  </r>
  <r>
    <x v="4"/>
    <x v="2"/>
    <x v="2"/>
    <x v="2"/>
    <x v="3"/>
    <s v="Completed"/>
    <n v="440.19852990682648"/>
    <n v="79.070681543146335"/>
    <n v="6.9989156142060277E-2"/>
    <n v="0.21833420057383521"/>
    <n v="5.622500309087072"/>
    <x v="4"/>
  </r>
  <r>
    <x v="1"/>
    <x v="0"/>
    <x v="2"/>
    <x v="0"/>
    <x v="1"/>
    <s v="Completed"/>
    <n v="518.35215530710047"/>
    <n v="44.706863335240882"/>
    <n v="0.10349010424950091"/>
    <n v="0.41898029332176723"/>
    <n v="11.157761616910481"/>
    <x v="1"/>
  </r>
  <r>
    <x v="0"/>
    <x v="0"/>
    <x v="0"/>
    <x v="3"/>
    <x v="1"/>
    <s v="Pending"/>
    <n v="102.4862170798214"/>
    <n v="104.4033833317924"/>
    <n v="8.0734320156911996E-2"/>
    <n v="0.1191701714644849"/>
    <n v="7.2391498228691544"/>
    <x v="4"/>
  </r>
  <r>
    <x v="2"/>
    <x v="2"/>
    <x v="3"/>
    <x v="1"/>
    <x v="0"/>
    <s v="Cancelled"/>
    <n v="456.06562243249761"/>
    <n v="62.513346955300122"/>
    <n v="0.1056758672625624"/>
    <n v="0.11602781578192239"/>
    <n v="4.7441648170384667"/>
    <x v="2"/>
  </r>
  <r>
    <x v="3"/>
    <x v="0"/>
    <x v="1"/>
    <x v="3"/>
    <x v="3"/>
    <s v="Completed"/>
    <n v="571.42251430234933"/>
    <n v="32.856848871674337"/>
    <n v="0.13310653372605241"/>
    <n v="0.1400607354555978"/>
    <n v="3.088919118799148"/>
    <x v="5"/>
  </r>
  <r>
    <x v="0"/>
    <x v="0"/>
    <x v="0"/>
    <x v="1"/>
    <x v="1"/>
    <s v="Cancelled"/>
    <n v="795.57880894830328"/>
    <n v="28.582150038777751"/>
    <n v="0.1793008408072676"/>
    <n v="0"/>
    <n v="1.787107359484855"/>
    <x v="1"/>
  </r>
  <r>
    <x v="2"/>
    <x v="1"/>
    <x v="3"/>
    <x v="1"/>
    <x v="3"/>
    <s v="Completed"/>
    <n v="396.34595634527051"/>
    <n v="59.649448304863697"/>
    <n v="3.8109225058657548E-2"/>
    <n v="0.14742449783192391"/>
    <n v="5.4069272717344461"/>
    <x v="9"/>
  </r>
  <r>
    <x v="0"/>
    <x v="2"/>
    <x v="0"/>
    <x v="3"/>
    <x v="2"/>
    <s v="Completed"/>
    <n v="338.30127942136238"/>
    <n v="45.530744293482982"/>
    <n v="0.20665166873281329"/>
    <n v="0.1240867338446302"/>
    <n v="3.4872985094313931"/>
    <x v="9"/>
  </r>
  <r>
    <x v="3"/>
    <x v="2"/>
    <x v="2"/>
    <x v="1"/>
    <x v="1"/>
    <s v="Returned"/>
    <n v="399.64859128309268"/>
    <n v="64.280009881841835"/>
    <n v="2.395610023874908E-3"/>
    <n v="0.21503937864762079"/>
    <n v="2.1554925808046521"/>
    <x v="6"/>
  </r>
  <r>
    <x v="3"/>
    <x v="0"/>
    <x v="3"/>
    <x v="2"/>
    <x v="1"/>
    <s v="Returned"/>
    <n v="683.08042354041481"/>
    <n v="59.464752491470897"/>
    <n v="9.2410745248220835E-2"/>
    <n v="0.23417559757771589"/>
    <n v="3.7068542315149471"/>
    <x v="2"/>
  </r>
  <r>
    <x v="1"/>
    <x v="2"/>
    <x v="0"/>
    <x v="0"/>
    <x v="3"/>
    <s v="Returned"/>
    <n v="565.75022193193695"/>
    <n v="48.543421746862542"/>
    <n v="0.1294158603242288"/>
    <n v="0.38761708392158872"/>
    <n v="2.8369039927712101"/>
    <x v="3"/>
  </r>
  <r>
    <x v="4"/>
    <x v="1"/>
    <x v="0"/>
    <x v="1"/>
    <x v="1"/>
    <s v="Cancelled"/>
    <n v="394.04795924659231"/>
    <n v="33.0641256386319"/>
    <n v="0.11404959338675159"/>
    <n v="0.29504238381860498"/>
    <n v="8.3742832701451295"/>
    <x v="2"/>
  </r>
  <r>
    <x v="0"/>
    <x v="1"/>
    <x v="1"/>
    <x v="2"/>
    <x v="3"/>
    <s v="Pending"/>
    <n v="602.65348662267127"/>
    <n v="19.703055506282709"/>
    <n v="6.8865024008970321E-2"/>
    <n v="0.14230963443375971"/>
    <n v="6.763279513898901"/>
    <x v="5"/>
  </r>
  <r>
    <x v="0"/>
    <x v="1"/>
    <x v="0"/>
    <x v="1"/>
    <x v="1"/>
    <s v="Completed"/>
    <n v="519.41550986960806"/>
    <n v="41.069700958659581"/>
    <n v="8.9593887482136245E-2"/>
    <n v="0.11015853286516419"/>
    <n v="4.9840547173667664"/>
    <x v="4"/>
  </r>
  <r>
    <x v="2"/>
    <x v="2"/>
    <x v="3"/>
    <x v="0"/>
    <x v="0"/>
    <s v="Completed"/>
    <n v="693.72899810657782"/>
    <n v="67.127975886469443"/>
    <n v="7.5349953267058359E-2"/>
    <n v="0.24919191715065059"/>
    <n v="7.9598882777800517"/>
    <x v="9"/>
  </r>
  <r>
    <x v="3"/>
    <x v="2"/>
    <x v="3"/>
    <x v="2"/>
    <x v="3"/>
    <s v="Completed"/>
    <n v="359.58938122452952"/>
    <n v="54.281874882604079"/>
    <n v="7.0531762152789432E-2"/>
    <n v="6.7976679297935799E-2"/>
    <n v="5.1547366152952367"/>
    <x v="4"/>
  </r>
  <r>
    <x v="0"/>
    <x v="2"/>
    <x v="1"/>
    <x v="0"/>
    <x v="1"/>
    <s v="Cancelled"/>
    <n v="434.46757068044627"/>
    <n v="25.085224425760241"/>
    <n v="0.1424801048510512"/>
    <n v="0.38314587658543542"/>
    <n v="3.277431597343472"/>
    <x v="4"/>
  </r>
  <r>
    <x v="3"/>
    <x v="2"/>
    <x v="3"/>
    <x v="0"/>
    <x v="2"/>
    <s v="Returned"/>
    <n v="421.57836937356848"/>
    <n v="53.46361851702364"/>
    <n v="0.1178507742982524"/>
    <n v="0.31794401207212869"/>
    <n v="8.046248154539315"/>
    <x v="4"/>
  </r>
  <r>
    <x v="0"/>
    <x v="2"/>
    <x v="2"/>
    <x v="2"/>
    <x v="1"/>
    <s v="Pending"/>
    <n v="207.29701037357631"/>
    <n v="57.706347594576727"/>
    <n v="6.5354520236967292E-2"/>
    <n v="0.15308243478952949"/>
    <n v="6.0778200873693171"/>
    <x v="9"/>
  </r>
  <r>
    <x v="1"/>
    <x v="1"/>
    <x v="3"/>
    <x v="2"/>
    <x v="2"/>
    <s v="Cancelled"/>
    <n v="559.22405541291516"/>
    <n v="32.322851275977342"/>
    <n v="0.14497999377166251"/>
    <n v="2.868654709091226E-2"/>
    <n v="2.9255076913470872"/>
    <x v="0"/>
  </r>
  <r>
    <x v="4"/>
    <x v="0"/>
    <x v="3"/>
    <x v="2"/>
    <x v="2"/>
    <s v="Returned"/>
    <n v="552.21105443597787"/>
    <n v="53.074502118910559"/>
    <n v="0.1153649760438305"/>
    <n v="0.33538723741654131"/>
    <n v="4.6193226438327839"/>
    <x v="8"/>
  </r>
  <r>
    <x v="0"/>
    <x v="1"/>
    <x v="0"/>
    <x v="3"/>
    <x v="0"/>
    <s v="Cancelled"/>
    <n v="501.02269132849221"/>
    <n v="51.164174368920001"/>
    <n v="0.14064310594194801"/>
    <n v="0.1885460154747382"/>
    <n v="3.2487634932304861"/>
    <x v="5"/>
  </r>
  <r>
    <x v="3"/>
    <x v="2"/>
    <x v="0"/>
    <x v="2"/>
    <x v="3"/>
    <s v="Pending"/>
    <n v="453.08257332497061"/>
    <n v="27.140594043387541"/>
    <n v="0.1314814420961806"/>
    <n v="0.32378163119734621"/>
    <n v="2.234400538071327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0B850-025B-40B4-A9B1-15BB61F4FC5D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J16" firstHeaderRow="0" firstDataRow="1" firstDataCol="1"/>
  <pivotFields count="12"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numFmtId="2" showAll="0"/>
    <pivotField numFmtId="1" showAll="0"/>
    <pivotField numFmtId="2" showAll="0"/>
    <pivotField dataField="1" numFmtId="2" showAll="0"/>
    <pivotField numFmtId="2" showAll="0"/>
    <pivotField showAll="0">
      <items count="11">
        <item x="9"/>
        <item x="5"/>
        <item x="8"/>
        <item x="1"/>
        <item x="6"/>
        <item x="3"/>
        <item x="4"/>
        <item x="7"/>
        <item x="2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ount" fld="6" baseField="2" baseItem="2" numFmtId="2"/>
    <dataField name="Sum of Profit_Margin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6384B-6434-449F-A4FB-86398A0D1C7E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12">
    <pivotField showAll="0"/>
    <pivotField axis="axisRow" showAll="0">
      <items count="4">
        <item x="1"/>
        <item x="0"/>
        <item x="2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dataField="1" numFmtId="2" showAll="0"/>
    <pivotField numFmtId="1" showAll="0"/>
    <pivotField numFmtId="2" showAll="0"/>
    <pivotField numFmtId="2" showAll="0"/>
    <pivotField numFmtId="2" showAll="0"/>
    <pivotField showAll="0">
      <items count="11">
        <item x="9"/>
        <item x="5"/>
        <item x="8"/>
        <item x="1"/>
        <item x="6"/>
        <item x="3"/>
        <item x="4"/>
        <item x="7"/>
        <item x="2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_Amount" fld="6" subtotal="average" baseField="1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516A7-4C89-4D1D-908E-287CF47197F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2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2" showAll="0"/>
    <pivotField numFmtId="1" showAll="0"/>
    <pivotField dataField="1" numFmtId="2" showAll="0"/>
    <pivotField dataField="1" numFmtId="2" showAll="0"/>
    <pivotField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_Rate" fld="8" subtotal="average" baseField="1" baseItem="0" numFmtId="2"/>
    <dataField name="Average of Profit_Margin" fld="9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5293C-7FEB-7642-B792-277E7F7CC435}" name="PivotTable9" cacheId="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8" firstHeaderRow="1" firstDataRow="2" firstDataCol="1"/>
  <pivotFields count="12">
    <pivotField axis="axisCol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1" showAll="0"/>
    <pivotField dataField="1" numFmtId="2" showAll="0"/>
    <pivotField dataField="1" numFmtId="2" showAll="0"/>
    <pivotField numFmtId="2" showAll="0"/>
    <pivotField showAll="0"/>
  </pivotFields>
  <rowFields count="1">
    <field x="-2"/>
  </rowFields>
  <rowItems count="2">
    <i>
      <x/>
    </i>
    <i i="1">
      <x v="1"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2">
    <dataField name="Average of Discount_Rate" fld="8" subtotal="average" baseField="0" baseItem="0"/>
    <dataField name="Average of Profit_Margin" fld="9" subtotal="average" baseField="0" baseItem="0"/>
  </dataFields>
  <formats count="2"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21344-B06A-DF45-875A-BAF8D77A5BED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30" firstHeaderRow="0" firstDataRow="1" firstDataCol="1"/>
  <pivotFields count="12"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numFmtId="2" showAll="0"/>
    <pivotField dataField="1" numFmtId="1" showAll="0"/>
    <pivotField numFmtId="2" showAll="0"/>
    <pivotField numFmtId="2" showAll="0"/>
    <pivotField numFmtId="2" showAll="0"/>
    <pivotField showAll="0"/>
  </pivotFields>
  <rowFields count="2">
    <field x="3"/>
    <field x="0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Amount" fld="6" subtotal="average" baseField="0" baseItem="0"/>
    <dataField name="Average of Quantity_Sold" fld="7" subtotal="average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D16DF-4D0A-9E45-84EF-B1C6BE8AC83E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0" firstHeaderRow="0" firstDataRow="1" firstDataCol="1"/>
  <pivotFields count="12"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numFmtId="2" showAll="0"/>
    <pivotField dataField="1" numFmtId="1" showAll="0"/>
    <pivotField numFmtId="2" showAll="0"/>
    <pivotField numFmtId="2" showAll="0"/>
    <pivotField numFmtId="2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_Channel" fld="4" subtotal="count" baseField="0" baseItem="0"/>
    <dataField name="Sum of Quantity_Sold" fld="7" baseField="0" baseItem="0" numFmtId="1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9D36-06F7-444C-BCB9-4C17D1384F87}">
  <dimension ref="A3:J17"/>
  <sheetViews>
    <sheetView tabSelected="1" workbookViewId="0">
      <selection activeCell="I21" sqref="I21"/>
    </sheetView>
  </sheetViews>
  <sheetFormatPr defaultRowHeight="16.3" x14ac:dyDescent="0.3"/>
  <cols>
    <col min="1" max="1" width="12.33203125" bestFit="1" customWidth="1"/>
    <col min="2" max="2" width="22.21875" bestFit="1" customWidth="1"/>
    <col min="3" max="3" width="13" customWidth="1"/>
    <col min="4" max="4" width="8.5546875" bestFit="1" customWidth="1"/>
    <col min="5" max="5" width="7.5546875" bestFit="1" customWidth="1"/>
    <col min="6" max="6" width="10.77734375" bestFit="1" customWidth="1"/>
    <col min="7" max="7" width="10.77734375" customWidth="1"/>
    <col min="8" max="8" width="12.33203125" bestFit="1" customWidth="1"/>
    <col min="9" max="9" width="19" bestFit="1" customWidth="1"/>
    <col min="10" max="10" width="19.33203125" bestFit="1" customWidth="1"/>
    <col min="11" max="11" width="15.33203125" bestFit="1" customWidth="1"/>
    <col min="12" max="12" width="12.77734375" bestFit="1" customWidth="1"/>
    <col min="13" max="22" width="11.33203125" bestFit="1" customWidth="1"/>
    <col min="23" max="23" width="14.109375" bestFit="1" customWidth="1"/>
    <col min="24" max="33" width="11.6640625" bestFit="1" customWidth="1"/>
    <col min="34" max="34" width="14.44140625" bestFit="1" customWidth="1"/>
    <col min="35" max="35" width="10.77734375" bestFit="1" customWidth="1"/>
  </cols>
  <sheetData>
    <row r="3" spans="1:10" x14ac:dyDescent="0.3">
      <c r="A3" s="5" t="s">
        <v>55</v>
      </c>
      <c r="B3" t="s">
        <v>53</v>
      </c>
      <c r="C3" t="s">
        <v>54</v>
      </c>
    </row>
    <row r="4" spans="1:10" x14ac:dyDescent="0.3">
      <c r="A4" s="6" t="s">
        <v>19</v>
      </c>
      <c r="B4" s="2">
        <v>9.0666333722392384E-2</v>
      </c>
      <c r="C4" s="2">
        <v>0.19926491357816903</v>
      </c>
      <c r="D4" s="4">
        <f>GETPIVOTDATA("Average of Discount_Rate",$A$3,"Customer_Segment","Business")*100</f>
        <v>9.066633372239238</v>
      </c>
      <c r="E4" s="4">
        <f>GETPIVOTDATA("Average of Profit_Margin",$A$3,"Customer_Segment","Business")*100</f>
        <v>19.926491357816904</v>
      </c>
    </row>
    <row r="5" spans="1:10" x14ac:dyDescent="0.3">
      <c r="A5" s="6" t="s">
        <v>12</v>
      </c>
      <c r="B5" s="2">
        <v>0.11455298541604149</v>
      </c>
      <c r="C5" s="2">
        <v>0.20036449906908774</v>
      </c>
      <c r="D5" s="4">
        <f>GETPIVOTDATA("Average of Discount_Rate",$A$3,"Customer_Segment","Individual")*100</f>
        <v>11.455298541604149</v>
      </c>
      <c r="E5" s="4">
        <f>GETPIVOTDATA("Average of Profit_Margin",$A$3,"Customer_Segment","Individual")*100</f>
        <v>20.036449906908775</v>
      </c>
    </row>
    <row r="6" spans="1:10" x14ac:dyDescent="0.3">
      <c r="A6" s="6" t="s">
        <v>25</v>
      </c>
      <c r="B6" s="2">
        <v>0.10594744390913494</v>
      </c>
      <c r="C6" s="2">
        <v>0.22874418387734394</v>
      </c>
      <c r="D6" s="4">
        <f>GETPIVOTDATA("Average of Discount_Rate",$A$3,"Customer_Segment","Wholesale")*100</f>
        <v>10.594744390913494</v>
      </c>
      <c r="E6" s="4">
        <f>GETPIVOTDATA("Average of Profit_Margin",$A$3,"Customer_Segment","Wholesale")*100</f>
        <v>22.874418387734394</v>
      </c>
    </row>
    <row r="7" spans="1:10" x14ac:dyDescent="0.3">
      <c r="A7" s="6" t="s">
        <v>51</v>
      </c>
      <c r="B7" s="2">
        <v>0.10387801761838585</v>
      </c>
      <c r="C7" s="2">
        <v>0.21080790779404027</v>
      </c>
    </row>
    <row r="11" spans="1:10" x14ac:dyDescent="0.3">
      <c r="A11" s="5" t="s">
        <v>55</v>
      </c>
      <c r="B11" t="s">
        <v>57</v>
      </c>
      <c r="H11" s="5" t="s">
        <v>55</v>
      </c>
      <c r="I11" t="s">
        <v>61</v>
      </c>
      <c r="J11" t="s">
        <v>60</v>
      </c>
    </row>
    <row r="12" spans="1:10" x14ac:dyDescent="0.3">
      <c r="A12" s="6" t="s">
        <v>19</v>
      </c>
      <c r="B12" s="2">
        <v>444.26384417278393</v>
      </c>
      <c r="H12" s="6" t="s">
        <v>20</v>
      </c>
      <c r="I12" s="2">
        <v>11229.615166705513</v>
      </c>
      <c r="J12" s="2">
        <v>5.3320267206980363</v>
      </c>
    </row>
    <row r="13" spans="1:10" x14ac:dyDescent="0.3">
      <c r="A13" s="6" t="s">
        <v>12</v>
      </c>
      <c r="B13" s="2">
        <v>506.9046053366057</v>
      </c>
      <c r="G13" s="2"/>
      <c r="H13" s="6" t="s">
        <v>32</v>
      </c>
      <c r="I13" s="2">
        <v>12567.940873690633</v>
      </c>
      <c r="J13" s="2">
        <v>5.6762093948663646</v>
      </c>
    </row>
    <row r="14" spans="1:10" x14ac:dyDescent="0.3">
      <c r="A14" s="6" t="s">
        <v>25</v>
      </c>
      <c r="B14" s="2">
        <v>485.8104404774997</v>
      </c>
      <c r="G14" s="2"/>
      <c r="H14" s="6" t="s">
        <v>13</v>
      </c>
      <c r="I14" s="2">
        <v>10067.927098862216</v>
      </c>
      <c r="J14" s="2">
        <v>4.5247828914469954</v>
      </c>
    </row>
    <row r="15" spans="1:10" x14ac:dyDescent="0.3">
      <c r="A15" s="6" t="s">
        <v>51</v>
      </c>
      <c r="B15" s="2">
        <v>479.47018672936088</v>
      </c>
      <c r="G15" s="2"/>
      <c r="H15" s="6" t="s">
        <v>40</v>
      </c>
      <c r="I15" s="2">
        <v>14081.535533677716</v>
      </c>
      <c r="J15" s="2">
        <v>5.5477717723926325</v>
      </c>
    </row>
    <row r="16" spans="1:10" x14ac:dyDescent="0.3">
      <c r="G16" s="2"/>
      <c r="H16" s="6" t="s">
        <v>51</v>
      </c>
      <c r="I16" s="2">
        <v>47947.018672936072</v>
      </c>
      <c r="J16" s="2">
        <v>21.08079077940403</v>
      </c>
    </row>
    <row r="17" spans="7:7" x14ac:dyDescent="0.3">
      <c r="G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sheetPr filterMode="1"/>
  <dimension ref="A1:L101"/>
  <sheetViews>
    <sheetView workbookViewId="0">
      <selection activeCell="G7" sqref="G7:G91"/>
    </sheetView>
  </sheetViews>
  <sheetFormatPr defaultColWidth="11.5546875" defaultRowHeight="16.3" x14ac:dyDescent="0.3"/>
  <cols>
    <col min="1" max="1" width="16.33203125" bestFit="1" customWidth="1"/>
    <col min="2" max="2" width="16.44140625" bestFit="1" customWidth="1"/>
    <col min="3" max="3" width="15.109375" bestFit="1" customWidth="1"/>
    <col min="4" max="4" width="6.44140625" bestFit="1" customWidth="1"/>
    <col min="5" max="5" width="12.109375" bestFit="1" customWidth="1"/>
    <col min="6" max="6" width="11.109375" bestFit="1" customWidth="1"/>
    <col min="7" max="7" width="18.77734375" bestFit="1" customWidth="1"/>
    <col min="8" max="8" width="12.109375" bestFit="1" customWidth="1"/>
    <col min="9" max="9" width="12.33203125" bestFit="1" customWidth="1"/>
    <col min="10" max="10" width="11.77734375" bestFit="1" customWidth="1"/>
    <col min="11" max="11" width="12" bestFit="1" customWidth="1"/>
    <col min="12" max="12" width="1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">
      <c r="A2" s="11" t="s">
        <v>11</v>
      </c>
      <c r="B2" s="11" t="s">
        <v>12</v>
      </c>
      <c r="C2" s="11" t="s">
        <v>13</v>
      </c>
      <c r="D2" s="11" t="s">
        <v>14</v>
      </c>
      <c r="E2" s="11" t="s">
        <v>15</v>
      </c>
      <c r="F2" s="11" t="s">
        <v>16</v>
      </c>
      <c r="G2" s="12">
        <v>599.34283060224652</v>
      </c>
      <c r="H2" s="13">
        <v>21.692585158991719</v>
      </c>
      <c r="I2" s="12">
        <v>0.1178893680174142</v>
      </c>
      <c r="J2" s="12">
        <v>0.1171004989077928</v>
      </c>
      <c r="K2" s="12">
        <v>1.811144682411266</v>
      </c>
      <c r="L2" s="12" t="s">
        <v>17</v>
      </c>
    </row>
    <row r="3" spans="1:12" hidden="1" x14ac:dyDescent="0.3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15</v>
      </c>
      <c r="F3" s="11" t="s">
        <v>22</v>
      </c>
      <c r="G3" s="12">
        <v>472.34713976576307</v>
      </c>
      <c r="H3" s="13">
        <v>41.58709354469282</v>
      </c>
      <c r="I3" s="12">
        <v>0.12803922631841169</v>
      </c>
      <c r="J3" s="12">
        <v>0.14398189598030309</v>
      </c>
      <c r="K3" s="12">
        <v>3.8012499540924538</v>
      </c>
      <c r="L3" s="12" t="s">
        <v>23</v>
      </c>
    </row>
    <row r="4" spans="1:12" hidden="1" x14ac:dyDescent="0.3">
      <c r="A4" s="11" t="s">
        <v>24</v>
      </c>
      <c r="B4" s="11" t="s">
        <v>25</v>
      </c>
      <c r="C4" s="11" t="s">
        <v>20</v>
      </c>
      <c r="D4" s="11" t="s">
        <v>26</v>
      </c>
      <c r="E4" s="11" t="s">
        <v>15</v>
      </c>
      <c r="F4" s="11" t="s">
        <v>16</v>
      </c>
      <c r="G4" s="12">
        <v>629.53770762013846</v>
      </c>
      <c r="H4" s="13">
        <v>43.145709669464608</v>
      </c>
      <c r="I4" s="12">
        <v>0.15415256215876391</v>
      </c>
      <c r="J4" s="12">
        <v>0.27472936051232622</v>
      </c>
      <c r="K4" s="12">
        <v>5.0104873994363661</v>
      </c>
      <c r="L4" s="12" t="s">
        <v>27</v>
      </c>
    </row>
    <row r="5" spans="1:12" hidden="1" x14ac:dyDescent="0.3">
      <c r="A5" s="11" t="s">
        <v>28</v>
      </c>
      <c r="B5" s="11" t="s">
        <v>25</v>
      </c>
      <c r="C5" s="11" t="s">
        <v>13</v>
      </c>
      <c r="D5" s="11" t="s">
        <v>21</v>
      </c>
      <c r="E5" s="11" t="s">
        <v>29</v>
      </c>
      <c r="F5" s="11" t="s">
        <v>30</v>
      </c>
      <c r="G5" s="12">
        <v>804.60597128160509</v>
      </c>
      <c r="H5" s="13">
        <v>33.95445461556762</v>
      </c>
      <c r="I5" s="12">
        <v>0.15269010260174509</v>
      </c>
      <c r="J5" s="12">
        <v>0.26103702654334648</v>
      </c>
      <c r="K5" s="12">
        <v>5.0939611875294837</v>
      </c>
      <c r="L5" s="12" t="s">
        <v>31</v>
      </c>
    </row>
    <row r="6" spans="1:12" hidden="1" x14ac:dyDescent="0.3">
      <c r="A6" s="11" t="s">
        <v>11</v>
      </c>
      <c r="B6" s="11" t="s">
        <v>19</v>
      </c>
      <c r="C6" s="11" t="s">
        <v>32</v>
      </c>
      <c r="D6" s="11" t="s">
        <v>14</v>
      </c>
      <c r="E6" s="11" t="s">
        <v>33</v>
      </c>
      <c r="F6" s="11" t="s">
        <v>34</v>
      </c>
      <c r="G6" s="12">
        <v>453.16932505533282</v>
      </c>
      <c r="H6" s="13">
        <v>46.774285766679817</v>
      </c>
      <c r="I6" s="12">
        <v>3.1116531602145451E-2</v>
      </c>
      <c r="J6" s="12">
        <v>0.19790984060358521</v>
      </c>
      <c r="K6" s="12">
        <v>4.0998690570415128</v>
      </c>
      <c r="L6" s="12" t="s">
        <v>35</v>
      </c>
    </row>
    <row r="7" spans="1:12" x14ac:dyDescent="0.3">
      <c r="A7" s="11" t="s">
        <v>11</v>
      </c>
      <c r="B7" s="11" t="s">
        <v>12</v>
      </c>
      <c r="C7" s="11" t="s">
        <v>20</v>
      </c>
      <c r="D7" s="11" t="s">
        <v>14</v>
      </c>
      <c r="E7" s="11" t="s">
        <v>36</v>
      </c>
      <c r="F7" s="11" t="s">
        <v>16</v>
      </c>
      <c r="G7" s="12">
        <v>453.17260861016388</v>
      </c>
      <c r="H7" s="13">
        <v>58.081017136290768</v>
      </c>
      <c r="I7" s="12">
        <v>5.3108748004243873E-2</v>
      </c>
      <c r="J7" s="12">
        <v>0.21173273833087819</v>
      </c>
      <c r="K7" s="12">
        <v>6.2456998646949966</v>
      </c>
      <c r="L7" s="12" t="s">
        <v>37</v>
      </c>
    </row>
    <row r="8" spans="1:12" hidden="1" x14ac:dyDescent="0.3">
      <c r="A8" s="11" t="s">
        <v>11</v>
      </c>
      <c r="B8" s="11" t="s">
        <v>25</v>
      </c>
      <c r="C8" s="11" t="s">
        <v>32</v>
      </c>
      <c r="D8" s="11" t="s">
        <v>38</v>
      </c>
      <c r="E8" s="11" t="s">
        <v>15</v>
      </c>
      <c r="F8" s="11" t="s">
        <v>16</v>
      </c>
      <c r="G8" s="12">
        <v>815.84256310147828</v>
      </c>
      <c r="H8" s="13">
        <v>87.723718024210598</v>
      </c>
      <c r="I8" s="12">
        <v>0.12575176336043301</v>
      </c>
      <c r="J8" s="12">
        <v>0.32776648957884252</v>
      </c>
      <c r="K8" s="12">
        <v>2.8647591412348108</v>
      </c>
      <c r="L8" s="12" t="s">
        <v>39</v>
      </c>
    </row>
    <row r="9" spans="1:12" hidden="1" x14ac:dyDescent="0.3">
      <c r="A9" s="11" t="s">
        <v>11</v>
      </c>
      <c r="B9" s="11" t="s">
        <v>12</v>
      </c>
      <c r="C9" s="11" t="s">
        <v>40</v>
      </c>
      <c r="D9" s="11" t="s">
        <v>26</v>
      </c>
      <c r="E9" s="11" t="s">
        <v>29</v>
      </c>
      <c r="F9" s="11" t="s">
        <v>30</v>
      </c>
      <c r="G9" s="12">
        <v>653.48694583058182</v>
      </c>
      <c r="H9" s="13">
        <v>53.491556256636777</v>
      </c>
      <c r="I9" s="12">
        <v>0.12568929754561051</v>
      </c>
      <c r="J9" s="12">
        <v>0.140842861116417</v>
      </c>
      <c r="K9" s="12">
        <v>4.7152410299574132</v>
      </c>
      <c r="L9" s="12" t="s">
        <v>35</v>
      </c>
    </row>
    <row r="10" spans="1:12" hidden="1" x14ac:dyDescent="0.3">
      <c r="A10" s="11" t="s">
        <v>11</v>
      </c>
      <c r="B10" s="11" t="s">
        <v>12</v>
      </c>
      <c r="C10" s="11" t="s">
        <v>20</v>
      </c>
      <c r="D10" s="11" t="s">
        <v>14</v>
      </c>
      <c r="E10" s="11" t="s">
        <v>29</v>
      </c>
      <c r="F10" s="11" t="s">
        <v>16</v>
      </c>
      <c r="G10" s="12">
        <v>406.10512281300959</v>
      </c>
      <c r="H10" s="13">
        <v>55.151007814455284</v>
      </c>
      <c r="I10" s="12">
        <v>0.12575238431530239</v>
      </c>
      <c r="J10" s="12">
        <v>0.25470973811700381</v>
      </c>
      <c r="K10" s="12">
        <v>5.2405912634237977</v>
      </c>
      <c r="L10" s="12" t="s">
        <v>31</v>
      </c>
    </row>
    <row r="11" spans="1:12" hidden="1" x14ac:dyDescent="0.3">
      <c r="A11" s="11" t="s">
        <v>18</v>
      </c>
      <c r="B11" s="11" t="s">
        <v>25</v>
      </c>
      <c r="C11" s="11" t="s">
        <v>32</v>
      </c>
      <c r="D11" s="11" t="s">
        <v>38</v>
      </c>
      <c r="E11" s="11" t="s">
        <v>29</v>
      </c>
      <c r="F11" s="11" t="s">
        <v>16</v>
      </c>
      <c r="G11" s="12">
        <v>608.51200871719288</v>
      </c>
      <c r="H11" s="13">
        <v>48.511081684676647</v>
      </c>
      <c r="I11" s="12">
        <v>0.29263657453273612</v>
      </c>
      <c r="J11" s="12">
        <v>0.17978073475661061</v>
      </c>
      <c r="K11" s="12">
        <v>6.0288776681174978</v>
      </c>
      <c r="L11" s="12" t="s">
        <v>35</v>
      </c>
    </row>
    <row r="12" spans="1:12" hidden="1" x14ac:dyDescent="0.3">
      <c r="A12" s="11" t="s">
        <v>28</v>
      </c>
      <c r="B12" s="11" t="s">
        <v>12</v>
      </c>
      <c r="C12" s="11" t="s">
        <v>32</v>
      </c>
      <c r="D12" s="11" t="s">
        <v>26</v>
      </c>
      <c r="E12" s="11" t="s">
        <v>36</v>
      </c>
      <c r="F12" s="11" t="s">
        <v>30</v>
      </c>
      <c r="G12" s="12">
        <v>407.31646143750748</v>
      </c>
      <c r="H12" s="13">
        <v>11.624575694019169</v>
      </c>
      <c r="I12" s="12">
        <v>0.12854452553465839</v>
      </c>
      <c r="J12" s="12">
        <v>0.17823187967727799</v>
      </c>
      <c r="K12" s="12">
        <v>6.4232297561777791</v>
      </c>
      <c r="L12" s="12" t="s">
        <v>31</v>
      </c>
    </row>
    <row r="13" spans="1:12" hidden="1" x14ac:dyDescent="0.3">
      <c r="A13" s="11" t="s">
        <v>24</v>
      </c>
      <c r="B13" s="11" t="s">
        <v>25</v>
      </c>
      <c r="C13" s="11" t="s">
        <v>40</v>
      </c>
      <c r="D13" s="11" t="s">
        <v>14</v>
      </c>
      <c r="E13" s="11" t="s">
        <v>15</v>
      </c>
      <c r="F13" s="11" t="s">
        <v>22</v>
      </c>
      <c r="G13" s="12">
        <v>406.85404928594858</v>
      </c>
      <c r="H13" s="13">
        <v>49.469722491015659</v>
      </c>
      <c r="I13" s="12">
        <v>0.15677828200902999</v>
      </c>
      <c r="J13" s="12">
        <v>0.30987768519871911</v>
      </c>
      <c r="K13" s="12">
        <v>2.750715816324262</v>
      </c>
      <c r="L13" s="12" t="s">
        <v>31</v>
      </c>
    </row>
    <row r="14" spans="1:12" hidden="1" x14ac:dyDescent="0.3">
      <c r="A14" s="11" t="s">
        <v>24</v>
      </c>
      <c r="B14" s="11" t="s">
        <v>12</v>
      </c>
      <c r="C14" s="11" t="s">
        <v>32</v>
      </c>
      <c r="D14" s="11" t="s">
        <v>14</v>
      </c>
      <c r="E14" s="11" t="s">
        <v>33</v>
      </c>
      <c r="F14" s="11" t="s">
        <v>30</v>
      </c>
      <c r="G14" s="12">
        <v>548.39245431320683</v>
      </c>
      <c r="H14" s="13">
        <v>51.204604198820533</v>
      </c>
      <c r="I14" s="12">
        <v>0.1477000881746601</v>
      </c>
      <c r="J14" s="12">
        <v>0.28254163489880302</v>
      </c>
      <c r="K14" s="12">
        <v>1.931771658528755</v>
      </c>
      <c r="L14" s="12" t="s">
        <v>41</v>
      </c>
    </row>
    <row r="15" spans="1:12" hidden="1" x14ac:dyDescent="0.3">
      <c r="A15" s="11" t="s">
        <v>24</v>
      </c>
      <c r="B15" s="11" t="s">
        <v>25</v>
      </c>
      <c r="C15" s="11" t="s">
        <v>32</v>
      </c>
      <c r="D15" s="11" t="s">
        <v>26</v>
      </c>
      <c r="E15" s="11" t="s">
        <v>33</v>
      </c>
      <c r="F15" s="11" t="s">
        <v>22</v>
      </c>
      <c r="G15" s="12">
        <v>117.3439510684404</v>
      </c>
      <c r="H15" s="13">
        <v>99.264842249705723</v>
      </c>
      <c r="I15" s="12">
        <v>0.1325695625652899</v>
      </c>
      <c r="J15" s="12">
        <v>0.28135096360006379</v>
      </c>
      <c r="K15" s="12">
        <v>7.5553536437970177</v>
      </c>
      <c r="L15" s="12" t="s">
        <v>42</v>
      </c>
    </row>
    <row r="16" spans="1:12" hidden="1" x14ac:dyDescent="0.3">
      <c r="A16" s="11" t="s">
        <v>24</v>
      </c>
      <c r="B16" s="11" t="s">
        <v>19</v>
      </c>
      <c r="C16" s="11" t="s">
        <v>40</v>
      </c>
      <c r="D16" s="11" t="s">
        <v>26</v>
      </c>
      <c r="E16" s="11" t="s">
        <v>29</v>
      </c>
      <c r="F16" s="11" t="s">
        <v>34</v>
      </c>
      <c r="G16" s="12">
        <v>155.01643349739351</v>
      </c>
      <c r="H16" s="13">
        <v>46.152780704377548</v>
      </c>
      <c r="I16" s="12">
        <v>8.4236537767982719E-2</v>
      </c>
      <c r="J16" s="12">
        <v>0.33054788071543301</v>
      </c>
      <c r="K16" s="12">
        <v>5.6646280239591844</v>
      </c>
      <c r="L16" s="12" t="s">
        <v>27</v>
      </c>
    </row>
    <row r="17" spans="1:12" x14ac:dyDescent="0.3">
      <c r="A17" s="11" t="s">
        <v>18</v>
      </c>
      <c r="B17" s="11" t="s">
        <v>25</v>
      </c>
      <c r="C17" s="11" t="s">
        <v>20</v>
      </c>
      <c r="D17" s="11" t="s">
        <v>26</v>
      </c>
      <c r="E17" s="11" t="s">
        <v>36</v>
      </c>
      <c r="F17" s="11" t="s">
        <v>22</v>
      </c>
      <c r="G17" s="12">
        <v>387.54249415180539</v>
      </c>
      <c r="H17" s="13">
        <v>56.030946846672251</v>
      </c>
      <c r="I17" s="12">
        <v>0.1379484610246634</v>
      </c>
      <c r="J17" s="12">
        <v>0.20210038416327589</v>
      </c>
      <c r="K17" s="12">
        <v>3.5030269268868932</v>
      </c>
      <c r="L17" s="12" t="s">
        <v>41</v>
      </c>
    </row>
    <row r="18" spans="1:12" hidden="1" x14ac:dyDescent="0.3">
      <c r="A18" s="11" t="s">
        <v>43</v>
      </c>
      <c r="B18" s="11" t="s">
        <v>25</v>
      </c>
      <c r="C18" s="11" t="s">
        <v>32</v>
      </c>
      <c r="D18" s="11" t="s">
        <v>14</v>
      </c>
      <c r="E18" s="11" t="s">
        <v>36</v>
      </c>
      <c r="F18" s="11" t="s">
        <v>22</v>
      </c>
      <c r="G18" s="12">
        <v>297.43377593311533</v>
      </c>
      <c r="H18" s="13">
        <v>49.305764605895128</v>
      </c>
      <c r="I18" s="12">
        <v>6.135873927312141E-2</v>
      </c>
      <c r="J18" s="12">
        <v>0.26819529712949641</v>
      </c>
      <c r="K18" s="12">
        <v>8.1023039510450463</v>
      </c>
      <c r="L18" s="12" t="s">
        <v>37</v>
      </c>
    </row>
    <row r="19" spans="1:12" hidden="1" x14ac:dyDescent="0.3">
      <c r="A19" s="11" t="s">
        <v>28</v>
      </c>
      <c r="B19" s="11" t="s">
        <v>25</v>
      </c>
      <c r="C19" s="11" t="s">
        <v>32</v>
      </c>
      <c r="D19" s="11" t="s">
        <v>14</v>
      </c>
      <c r="E19" s="11" t="s">
        <v>36</v>
      </c>
      <c r="F19" s="11" t="s">
        <v>34</v>
      </c>
      <c r="G19" s="12">
        <v>562.84946651905477</v>
      </c>
      <c r="H19" s="13">
        <v>26.626439247609358</v>
      </c>
      <c r="I19" s="12">
        <v>8.8159069662999565E-2</v>
      </c>
      <c r="J19" s="12">
        <v>0.1689733243406544</v>
      </c>
      <c r="K19" s="12">
        <v>5.231349268585717</v>
      </c>
      <c r="L19" s="12" t="s">
        <v>41</v>
      </c>
    </row>
    <row r="20" spans="1:12" hidden="1" x14ac:dyDescent="0.3">
      <c r="A20" s="11" t="s">
        <v>11</v>
      </c>
      <c r="B20" s="11" t="s">
        <v>25</v>
      </c>
      <c r="C20" s="11" t="s">
        <v>32</v>
      </c>
      <c r="D20" s="11" t="s">
        <v>38</v>
      </c>
      <c r="E20" s="11" t="s">
        <v>33</v>
      </c>
      <c r="F20" s="11" t="s">
        <v>22</v>
      </c>
      <c r="G20" s="12">
        <v>318.39518489575778</v>
      </c>
      <c r="H20" s="13">
        <v>72.856456290300414</v>
      </c>
      <c r="I20" s="12">
        <v>7.573182260854483E-2</v>
      </c>
      <c r="J20" s="12">
        <v>0.23241663524884421</v>
      </c>
      <c r="K20" s="12">
        <v>7.3585943681276529</v>
      </c>
      <c r="L20" s="12" t="s">
        <v>44</v>
      </c>
    </row>
    <row r="21" spans="1:12" hidden="1" x14ac:dyDescent="0.3">
      <c r="A21" s="11" t="s">
        <v>43</v>
      </c>
      <c r="B21" s="11" t="s">
        <v>12</v>
      </c>
      <c r="C21" s="11" t="s">
        <v>13</v>
      </c>
      <c r="D21" s="11" t="s">
        <v>21</v>
      </c>
      <c r="E21" s="11" t="s">
        <v>29</v>
      </c>
      <c r="F21" s="11" t="s">
        <v>30</v>
      </c>
      <c r="G21" s="12">
        <v>217.5392597329417</v>
      </c>
      <c r="H21" s="13">
        <v>65.038660653735491</v>
      </c>
      <c r="I21" s="12">
        <v>0.10409370696931609</v>
      </c>
      <c r="J21" s="12">
        <v>0.18698569456323161</v>
      </c>
      <c r="K21" s="12">
        <v>5.1350369628202177</v>
      </c>
      <c r="L21" s="12" t="s">
        <v>44</v>
      </c>
    </row>
    <row r="22" spans="1:12" hidden="1" x14ac:dyDescent="0.3">
      <c r="A22" s="11" t="s">
        <v>24</v>
      </c>
      <c r="B22" s="11" t="s">
        <v>19</v>
      </c>
      <c r="C22" s="11" t="s">
        <v>40</v>
      </c>
      <c r="D22" s="11" t="s">
        <v>26</v>
      </c>
      <c r="E22" s="11" t="s">
        <v>15</v>
      </c>
      <c r="F22" s="11" t="s">
        <v>22</v>
      </c>
      <c r="G22" s="12">
        <v>793.12975378431088</v>
      </c>
      <c r="H22" s="13">
        <v>65.820638940860931</v>
      </c>
      <c r="I22" s="12">
        <v>0.21573292833367541</v>
      </c>
      <c r="J22" s="12">
        <v>0.20969959649927181</v>
      </c>
      <c r="K22" s="12">
        <v>9.1214958497639742</v>
      </c>
      <c r="L22" s="12" t="s">
        <v>27</v>
      </c>
    </row>
    <row r="23" spans="1:12" hidden="1" x14ac:dyDescent="0.3">
      <c r="A23" s="11" t="s">
        <v>43</v>
      </c>
      <c r="B23" s="11" t="s">
        <v>25</v>
      </c>
      <c r="C23" s="11" t="s">
        <v>13</v>
      </c>
      <c r="D23" s="11" t="s">
        <v>14</v>
      </c>
      <c r="E23" s="11" t="s">
        <v>33</v>
      </c>
      <c r="F23" s="11" t="s">
        <v>34</v>
      </c>
      <c r="G23" s="12">
        <v>454.84473990269288</v>
      </c>
      <c r="H23" s="13">
        <v>31.81225090410522</v>
      </c>
      <c r="I23" s="12">
        <v>6.6367403704125916E-3</v>
      </c>
      <c r="J23" s="12">
        <v>0.25951570254369138</v>
      </c>
      <c r="K23" s="12">
        <v>8.5106816848864089</v>
      </c>
      <c r="L23" s="12" t="s">
        <v>35</v>
      </c>
    </row>
    <row r="24" spans="1:12" hidden="1" x14ac:dyDescent="0.3">
      <c r="A24" s="11" t="s">
        <v>28</v>
      </c>
      <c r="B24" s="11" t="s">
        <v>12</v>
      </c>
      <c r="C24" s="11" t="s">
        <v>40</v>
      </c>
      <c r="D24" s="11" t="s">
        <v>14</v>
      </c>
      <c r="E24" s="11" t="s">
        <v>29</v>
      </c>
      <c r="F24" s="11" t="s">
        <v>30</v>
      </c>
      <c r="G24" s="12">
        <v>513.50564093758476</v>
      </c>
      <c r="H24" s="13">
        <v>78.05588621872198</v>
      </c>
      <c r="I24" s="12">
        <v>0.13431300951872571</v>
      </c>
      <c r="J24" s="12">
        <v>0.11817793167665271</v>
      </c>
      <c r="K24" s="12">
        <v>4.5020717030418531</v>
      </c>
      <c r="L24" s="12" t="s">
        <v>42</v>
      </c>
    </row>
    <row r="25" spans="1:12" hidden="1" x14ac:dyDescent="0.3">
      <c r="A25" s="11" t="s">
        <v>11</v>
      </c>
      <c r="B25" s="11" t="s">
        <v>19</v>
      </c>
      <c r="C25" s="11" t="s">
        <v>20</v>
      </c>
      <c r="D25" s="11" t="s">
        <v>26</v>
      </c>
      <c r="E25" s="11" t="s">
        <v>29</v>
      </c>
      <c r="F25" s="11" t="s">
        <v>34</v>
      </c>
      <c r="G25" s="12">
        <v>215.05036275730859</v>
      </c>
      <c r="H25" s="13">
        <v>21.96297874415438</v>
      </c>
      <c r="I25" s="12">
        <v>1.936420644051742E-2</v>
      </c>
      <c r="J25" s="12">
        <v>0.40923872756854612</v>
      </c>
      <c r="K25" s="12">
        <v>6.9431419019087111</v>
      </c>
      <c r="L25" s="12" t="s">
        <v>27</v>
      </c>
    </row>
    <row r="26" spans="1:12" hidden="1" x14ac:dyDescent="0.3">
      <c r="A26" s="11" t="s">
        <v>11</v>
      </c>
      <c r="B26" s="11" t="s">
        <v>19</v>
      </c>
      <c r="C26" s="11" t="s">
        <v>20</v>
      </c>
      <c r="D26" s="11" t="s">
        <v>21</v>
      </c>
      <c r="E26" s="11" t="s">
        <v>15</v>
      </c>
      <c r="F26" s="11" t="s">
        <v>34</v>
      </c>
      <c r="G26" s="12">
        <v>391.12345509496339</v>
      </c>
      <c r="H26" s="13">
        <v>61.73714187600541</v>
      </c>
      <c r="I26" s="12">
        <v>7.6403406710528338E-2</v>
      </c>
      <c r="J26" s="12">
        <v>9.9398261850029812E-2</v>
      </c>
      <c r="K26" s="12">
        <v>6.2907518991702949</v>
      </c>
      <c r="L26" s="12" t="s">
        <v>31</v>
      </c>
    </row>
    <row r="27" spans="1:12" hidden="1" x14ac:dyDescent="0.3">
      <c r="A27" s="11" t="s">
        <v>28</v>
      </c>
      <c r="B27" s="11" t="s">
        <v>19</v>
      </c>
      <c r="C27" s="11" t="s">
        <v>32</v>
      </c>
      <c r="D27" s="11" t="s">
        <v>26</v>
      </c>
      <c r="E27" s="11" t="s">
        <v>15</v>
      </c>
      <c r="F27" s="11" t="s">
        <v>16</v>
      </c>
      <c r="G27" s="12">
        <v>522.18451794197324</v>
      </c>
      <c r="H27" s="13">
        <v>93.809112516199576</v>
      </c>
      <c r="I27" s="12">
        <v>0.15444752984836829</v>
      </c>
      <c r="J27" s="12">
        <v>7.8581138721226795E-2</v>
      </c>
      <c r="K27" s="12">
        <v>7.7372631150646978</v>
      </c>
      <c r="L27" s="12" t="s">
        <v>23</v>
      </c>
    </row>
    <row r="28" spans="1:12" hidden="1" x14ac:dyDescent="0.3">
      <c r="A28" s="11" t="s">
        <v>28</v>
      </c>
      <c r="B28" s="11" t="s">
        <v>19</v>
      </c>
      <c r="C28" s="11" t="s">
        <v>40</v>
      </c>
      <c r="D28" s="11" t="s">
        <v>21</v>
      </c>
      <c r="E28" s="11" t="s">
        <v>15</v>
      </c>
      <c r="F28" s="11" t="s">
        <v>16</v>
      </c>
      <c r="G28" s="12">
        <v>269.80128451553952</v>
      </c>
      <c r="H28" s="13">
        <v>30.189273497386228</v>
      </c>
      <c r="I28" s="12">
        <v>0.10321400095477309</v>
      </c>
      <c r="J28" s="12">
        <v>0.31581108735000679</v>
      </c>
      <c r="K28" s="12">
        <v>3.070153078839791</v>
      </c>
      <c r="L28" s="12" t="s">
        <v>42</v>
      </c>
    </row>
    <row r="29" spans="1:12" x14ac:dyDescent="0.3">
      <c r="A29" s="11" t="s">
        <v>24</v>
      </c>
      <c r="B29" s="11" t="s">
        <v>25</v>
      </c>
      <c r="C29" s="11" t="s">
        <v>20</v>
      </c>
      <c r="D29" s="11" t="s">
        <v>14</v>
      </c>
      <c r="E29" s="11" t="s">
        <v>36</v>
      </c>
      <c r="F29" s="11" t="s">
        <v>34</v>
      </c>
      <c r="G29" s="12">
        <v>575.13960366913443</v>
      </c>
      <c r="H29" s="13">
        <v>38.674045407944561</v>
      </c>
      <c r="I29" s="12">
        <v>4.6112761103534697E-2</v>
      </c>
      <c r="J29" s="12">
        <v>0.27916626939629358</v>
      </c>
      <c r="K29" s="12">
        <v>6.3721029199968786</v>
      </c>
      <c r="L29" s="12" t="s">
        <v>42</v>
      </c>
    </row>
    <row r="30" spans="1:12" hidden="1" x14ac:dyDescent="0.3">
      <c r="A30" s="11" t="s">
        <v>11</v>
      </c>
      <c r="B30" s="11" t="s">
        <v>25</v>
      </c>
      <c r="C30" s="11" t="s">
        <v>40</v>
      </c>
      <c r="D30" s="11" t="s">
        <v>21</v>
      </c>
      <c r="E30" s="11" t="s">
        <v>15</v>
      </c>
      <c r="F30" s="11" t="s">
        <v>34</v>
      </c>
      <c r="G30" s="12">
        <v>379.87226201623901</v>
      </c>
      <c r="H30" s="13">
        <v>51.993027301752832</v>
      </c>
      <c r="I30" s="12">
        <v>6.4234814537001583E-2</v>
      </c>
      <c r="J30" s="12">
        <v>0.26241198170521551</v>
      </c>
      <c r="K30" s="12">
        <v>7.1168489736991756</v>
      </c>
      <c r="L30" s="12" t="s">
        <v>31</v>
      </c>
    </row>
    <row r="31" spans="1:12" hidden="1" x14ac:dyDescent="0.3">
      <c r="A31" s="11" t="s">
        <v>43</v>
      </c>
      <c r="B31" s="11" t="s">
        <v>12</v>
      </c>
      <c r="C31" s="11" t="s">
        <v>20</v>
      </c>
      <c r="D31" s="11" t="s">
        <v>38</v>
      </c>
      <c r="E31" s="11" t="s">
        <v>29</v>
      </c>
      <c r="F31" s="11" t="s">
        <v>34</v>
      </c>
      <c r="G31" s="12">
        <v>441.661250041345</v>
      </c>
      <c r="H31" s="13">
        <v>39.930486917676014</v>
      </c>
      <c r="I31" s="12">
        <v>0.13397988744673381</v>
      </c>
      <c r="J31" s="12">
        <v>0.26283455092642799</v>
      </c>
      <c r="K31" s="12">
        <v>1.482521027153771</v>
      </c>
      <c r="L31" s="12" t="s">
        <v>31</v>
      </c>
    </row>
    <row r="32" spans="1:12" hidden="1" x14ac:dyDescent="0.3">
      <c r="A32" s="11" t="s">
        <v>18</v>
      </c>
      <c r="B32" s="11" t="s">
        <v>12</v>
      </c>
      <c r="C32" s="11" t="s">
        <v>13</v>
      </c>
      <c r="D32" s="11" t="s">
        <v>14</v>
      </c>
      <c r="E32" s="11" t="s">
        <v>15</v>
      </c>
      <c r="F32" s="11" t="s">
        <v>16</v>
      </c>
      <c r="G32" s="12">
        <v>379.65867755412057</v>
      </c>
      <c r="H32" s="13">
        <v>18.986731378677352</v>
      </c>
      <c r="I32" s="12">
        <v>6.3481668414143169E-2</v>
      </c>
      <c r="J32" s="12">
        <v>0.19877532271530851</v>
      </c>
      <c r="K32" s="12">
        <v>2.6334829746684498</v>
      </c>
      <c r="L32" s="12" t="s">
        <v>39</v>
      </c>
    </row>
    <row r="33" spans="1:12" hidden="1" x14ac:dyDescent="0.3">
      <c r="A33" s="11" t="s">
        <v>18</v>
      </c>
      <c r="B33" s="11" t="s">
        <v>12</v>
      </c>
      <c r="C33" s="11" t="s">
        <v>20</v>
      </c>
      <c r="D33" s="11" t="s">
        <v>38</v>
      </c>
      <c r="E33" s="11" t="s">
        <v>29</v>
      </c>
      <c r="F33" s="11" t="s">
        <v>16</v>
      </c>
      <c r="G33" s="12">
        <v>870.45563690178756</v>
      </c>
      <c r="H33" s="13">
        <v>51.371259496120537</v>
      </c>
      <c r="I33" s="12">
        <v>0.11082292947909871</v>
      </c>
      <c r="J33" s="12">
        <v>0.1102745628514168</v>
      </c>
      <c r="K33" s="12">
        <v>1</v>
      </c>
      <c r="L33" s="12" t="s">
        <v>27</v>
      </c>
    </row>
    <row r="34" spans="1:12" hidden="1" x14ac:dyDescent="0.3">
      <c r="A34" s="11" t="s">
        <v>28</v>
      </c>
      <c r="B34" s="11" t="s">
        <v>19</v>
      </c>
      <c r="C34" s="11" t="s">
        <v>13</v>
      </c>
      <c r="D34" s="11" t="s">
        <v>26</v>
      </c>
      <c r="E34" s="11" t="s">
        <v>33</v>
      </c>
      <c r="F34" s="11" t="s">
        <v>22</v>
      </c>
      <c r="G34" s="12">
        <v>497.30055505241319</v>
      </c>
      <c r="H34" s="13">
        <v>28.753925725477899</v>
      </c>
      <c r="I34" s="12">
        <v>0.1022785919951907</v>
      </c>
      <c r="J34" s="12">
        <v>0.20758045581937271</v>
      </c>
      <c r="K34" s="12">
        <v>4.4611863311108841</v>
      </c>
      <c r="L34" s="12" t="s">
        <v>31</v>
      </c>
    </row>
    <row r="35" spans="1:12" x14ac:dyDescent="0.3">
      <c r="A35" s="11" t="s">
        <v>24</v>
      </c>
      <c r="B35" s="11" t="s">
        <v>19</v>
      </c>
      <c r="C35" s="11" t="s">
        <v>20</v>
      </c>
      <c r="D35" s="11" t="s">
        <v>26</v>
      </c>
      <c r="E35" s="11" t="s">
        <v>36</v>
      </c>
      <c r="F35" s="11" t="s">
        <v>22</v>
      </c>
      <c r="G35" s="12">
        <v>288.45781420882003</v>
      </c>
      <c r="H35" s="13">
        <v>59.471848612703631</v>
      </c>
      <c r="I35" s="12">
        <v>6.7419982619709148E-2</v>
      </c>
      <c r="J35" s="12">
        <v>0.13228382884878881</v>
      </c>
      <c r="K35" s="12">
        <v>6.4350845115919242</v>
      </c>
      <c r="L35" s="12" t="s">
        <v>44</v>
      </c>
    </row>
    <row r="36" spans="1:12" hidden="1" x14ac:dyDescent="0.3">
      <c r="A36" s="11" t="s">
        <v>18</v>
      </c>
      <c r="B36" s="11" t="s">
        <v>25</v>
      </c>
      <c r="C36" s="11" t="s">
        <v>32</v>
      </c>
      <c r="D36" s="11" t="s">
        <v>26</v>
      </c>
      <c r="E36" s="11" t="s">
        <v>33</v>
      </c>
      <c r="F36" s="11" t="s">
        <v>34</v>
      </c>
      <c r="G36" s="12">
        <v>664.50898242063784</v>
      </c>
      <c r="H36" s="13">
        <v>31.611515315323938</v>
      </c>
      <c r="I36" s="12">
        <v>0.2071972044662663</v>
      </c>
      <c r="J36" s="12">
        <v>0.29751197334177509</v>
      </c>
      <c r="K36" s="12">
        <v>8.0047141041920558</v>
      </c>
      <c r="L36" s="12" t="s">
        <v>37</v>
      </c>
    </row>
    <row r="37" spans="1:12" hidden="1" x14ac:dyDescent="0.3">
      <c r="A37" s="11" t="s">
        <v>11</v>
      </c>
      <c r="B37" s="11" t="s">
        <v>19</v>
      </c>
      <c r="C37" s="11" t="s">
        <v>13</v>
      </c>
      <c r="D37" s="11" t="s">
        <v>21</v>
      </c>
      <c r="E37" s="11" t="s">
        <v>33</v>
      </c>
      <c r="F37" s="11" t="s">
        <v>30</v>
      </c>
      <c r="G37" s="12">
        <v>255.83127000579549</v>
      </c>
      <c r="H37" s="13">
        <v>80.99868810035079</v>
      </c>
      <c r="I37" s="12">
        <v>0.1316959511159006</v>
      </c>
      <c r="J37" s="12">
        <v>0.18529426184978609</v>
      </c>
      <c r="K37" s="12">
        <v>5.1481895608395503</v>
      </c>
      <c r="L37" s="12" t="s">
        <v>23</v>
      </c>
    </row>
    <row r="38" spans="1:12" hidden="1" x14ac:dyDescent="0.3">
      <c r="A38" s="11" t="s">
        <v>28</v>
      </c>
      <c r="B38" s="11" t="s">
        <v>19</v>
      </c>
      <c r="C38" s="11" t="s">
        <v>20</v>
      </c>
      <c r="D38" s="11" t="s">
        <v>14</v>
      </c>
      <c r="E38" s="11" t="s">
        <v>29</v>
      </c>
      <c r="F38" s="11" t="s">
        <v>30</v>
      </c>
      <c r="G38" s="12">
        <v>541.77271900095104</v>
      </c>
      <c r="H38" s="13">
        <v>34.334934153275263</v>
      </c>
      <c r="I38" s="12">
        <v>0</v>
      </c>
      <c r="J38" s="12">
        <v>0.11745028032074881</v>
      </c>
      <c r="K38" s="12">
        <v>8.2572310911425841</v>
      </c>
      <c r="L38" s="12" t="s">
        <v>27</v>
      </c>
    </row>
    <row r="39" spans="1:12" hidden="1" x14ac:dyDescent="0.3">
      <c r="A39" s="11" t="s">
        <v>43</v>
      </c>
      <c r="B39" s="11" t="s">
        <v>19</v>
      </c>
      <c r="C39" s="11" t="s">
        <v>32</v>
      </c>
      <c r="D39" s="11" t="s">
        <v>26</v>
      </c>
      <c r="E39" s="11" t="s">
        <v>33</v>
      </c>
      <c r="F39" s="11" t="s">
        <v>16</v>
      </c>
      <c r="G39" s="12">
        <v>108.06597522404491</v>
      </c>
      <c r="H39" s="13">
        <v>43.558769675886488</v>
      </c>
      <c r="I39" s="12">
        <v>0.1093227157384714</v>
      </c>
      <c r="J39" s="12">
        <v>0.16786141583470071</v>
      </c>
      <c r="K39" s="12">
        <v>2.2397970835702168</v>
      </c>
      <c r="L39" s="12" t="s">
        <v>17</v>
      </c>
    </row>
    <row r="40" spans="1:12" hidden="1" x14ac:dyDescent="0.3">
      <c r="A40" s="11" t="s">
        <v>28</v>
      </c>
      <c r="B40" s="11" t="s">
        <v>12</v>
      </c>
      <c r="C40" s="11" t="s">
        <v>13</v>
      </c>
      <c r="D40" s="11" t="s">
        <v>26</v>
      </c>
      <c r="E40" s="11" t="s">
        <v>29</v>
      </c>
      <c r="F40" s="11" t="s">
        <v>16</v>
      </c>
      <c r="G40" s="12">
        <v>234.36279022031391</v>
      </c>
      <c r="H40" s="13">
        <v>66.27034434739339</v>
      </c>
      <c r="I40" s="12">
        <v>6.6910676761580606E-2</v>
      </c>
      <c r="J40" s="12">
        <v>0.24129314542756239</v>
      </c>
      <c r="K40" s="12">
        <v>1.5932351212896909</v>
      </c>
      <c r="L40" s="12" t="s">
        <v>44</v>
      </c>
    </row>
    <row r="41" spans="1:12" hidden="1" x14ac:dyDescent="0.3">
      <c r="A41" s="11" t="s">
        <v>43</v>
      </c>
      <c r="B41" s="11" t="s">
        <v>12</v>
      </c>
      <c r="C41" s="11" t="s">
        <v>32</v>
      </c>
      <c r="D41" s="11" t="s">
        <v>14</v>
      </c>
      <c r="E41" s="11" t="s">
        <v>15</v>
      </c>
      <c r="F41" s="11" t="s">
        <v>16</v>
      </c>
      <c r="G41" s="12">
        <v>539.37224717382469</v>
      </c>
      <c r="H41" s="13">
        <v>25.3827136713209</v>
      </c>
      <c r="I41" s="12">
        <v>0.14262166673981119</v>
      </c>
      <c r="J41" s="12">
        <v>0.14362754471960251</v>
      </c>
      <c r="K41" s="12">
        <v>4.8889046022067628</v>
      </c>
      <c r="L41" s="12" t="s">
        <v>35</v>
      </c>
    </row>
    <row r="42" spans="1:12" hidden="1" x14ac:dyDescent="0.3">
      <c r="A42" s="11" t="s">
        <v>28</v>
      </c>
      <c r="B42" s="11" t="s">
        <v>25</v>
      </c>
      <c r="C42" s="11" t="s">
        <v>40</v>
      </c>
      <c r="D42" s="11" t="s">
        <v>26</v>
      </c>
      <c r="E42" s="11" t="s">
        <v>15</v>
      </c>
      <c r="F42" s="11" t="s">
        <v>34</v>
      </c>
      <c r="G42" s="12">
        <v>647.69331599908207</v>
      </c>
      <c r="H42" s="13">
        <v>54.549198692082591</v>
      </c>
      <c r="I42" s="12">
        <v>6.037396307836497E-2</v>
      </c>
      <c r="J42" s="12">
        <v>0.11777796044335689</v>
      </c>
      <c r="K42" s="12">
        <v>5.7681308978786143</v>
      </c>
      <c r="L42" s="12" t="s">
        <v>31</v>
      </c>
    </row>
    <row r="43" spans="1:12" hidden="1" x14ac:dyDescent="0.3">
      <c r="A43" s="11" t="s">
        <v>28</v>
      </c>
      <c r="B43" s="11" t="s">
        <v>19</v>
      </c>
      <c r="C43" s="11" t="s">
        <v>40</v>
      </c>
      <c r="D43" s="11" t="s">
        <v>38</v>
      </c>
      <c r="E43" s="11" t="s">
        <v>29</v>
      </c>
      <c r="F43" s="11" t="s">
        <v>30</v>
      </c>
      <c r="G43" s="12">
        <v>534.27365623799415</v>
      </c>
      <c r="H43" s="13">
        <v>76.142855085648563</v>
      </c>
      <c r="I43" s="12">
        <v>9.4263177926655062E-2</v>
      </c>
      <c r="J43" s="12">
        <v>0.22436872114919121</v>
      </c>
      <c r="K43" s="12">
        <v>4.9346105038118138</v>
      </c>
      <c r="L43" s="12" t="s">
        <v>17</v>
      </c>
    </row>
    <row r="44" spans="1:12" hidden="1" x14ac:dyDescent="0.3">
      <c r="A44" s="11" t="s">
        <v>28</v>
      </c>
      <c r="B44" s="11" t="s">
        <v>19</v>
      </c>
      <c r="C44" s="11" t="s">
        <v>13</v>
      </c>
      <c r="D44" s="11" t="s">
        <v>14</v>
      </c>
      <c r="E44" s="11" t="s">
        <v>15</v>
      </c>
      <c r="F44" s="11" t="s">
        <v>22</v>
      </c>
      <c r="G44" s="12">
        <v>476.8703435223519</v>
      </c>
      <c r="H44" s="13">
        <v>17.850335308775449</v>
      </c>
      <c r="I44" s="12">
        <v>0.12524936394902289</v>
      </c>
      <c r="J44" s="12">
        <v>0.2244966571108723</v>
      </c>
      <c r="K44" s="12">
        <v>1</v>
      </c>
      <c r="L44" s="12" t="s">
        <v>31</v>
      </c>
    </row>
    <row r="45" spans="1:12" x14ac:dyDescent="0.3">
      <c r="A45" s="11" t="s">
        <v>43</v>
      </c>
      <c r="B45" s="11" t="s">
        <v>25</v>
      </c>
      <c r="C45" s="11" t="s">
        <v>20</v>
      </c>
      <c r="D45" s="11" t="s">
        <v>14</v>
      </c>
      <c r="E45" s="11" t="s">
        <v>36</v>
      </c>
      <c r="F45" s="11" t="s">
        <v>34</v>
      </c>
      <c r="G45" s="12">
        <v>439.77926088214218</v>
      </c>
      <c r="H45" s="13">
        <v>53.692677170646093</v>
      </c>
      <c r="I45" s="12">
        <v>0.1432877597085061</v>
      </c>
      <c r="J45" s="12">
        <v>0.149305682462887</v>
      </c>
      <c r="K45" s="12">
        <v>4.8217599209744231</v>
      </c>
      <c r="L45" s="12" t="s">
        <v>42</v>
      </c>
    </row>
    <row r="46" spans="1:12" hidden="1" x14ac:dyDescent="0.3">
      <c r="A46" s="11" t="s">
        <v>43</v>
      </c>
      <c r="B46" s="11" t="s">
        <v>19</v>
      </c>
      <c r="C46" s="11" t="s">
        <v>13</v>
      </c>
      <c r="D46" s="11" t="s">
        <v>14</v>
      </c>
      <c r="E46" s="11" t="s">
        <v>33</v>
      </c>
      <c r="F46" s="11" t="s">
        <v>22</v>
      </c>
      <c r="G46" s="12">
        <v>204.29560192651451</v>
      </c>
      <c r="H46" s="13">
        <v>55.197655884968469</v>
      </c>
      <c r="I46" s="12">
        <v>3.998517964721119E-2</v>
      </c>
      <c r="J46" s="12">
        <v>0.1528961694381677</v>
      </c>
      <c r="K46" s="12">
        <v>2.391060998990294</v>
      </c>
      <c r="L46" s="12" t="s">
        <v>44</v>
      </c>
    </row>
    <row r="47" spans="1:12" hidden="1" x14ac:dyDescent="0.3">
      <c r="A47" s="11" t="s">
        <v>28</v>
      </c>
      <c r="B47" s="11" t="s">
        <v>19</v>
      </c>
      <c r="C47" s="11" t="s">
        <v>32</v>
      </c>
      <c r="D47" s="11" t="s">
        <v>38</v>
      </c>
      <c r="E47" s="11" t="s">
        <v>36</v>
      </c>
      <c r="F47" s="11" t="s">
        <v>22</v>
      </c>
      <c r="G47" s="12">
        <v>356.03115832105829</v>
      </c>
      <c r="H47" s="13">
        <v>65.636457435546205</v>
      </c>
      <c r="I47" s="12">
        <v>8.3274938207952592E-2</v>
      </c>
      <c r="J47" s="12">
        <v>0.22320499373576361</v>
      </c>
      <c r="K47" s="12">
        <v>6.3393450976600771</v>
      </c>
      <c r="L47" s="12" t="s">
        <v>42</v>
      </c>
    </row>
    <row r="48" spans="1:12" hidden="1" x14ac:dyDescent="0.3">
      <c r="A48" s="11" t="s">
        <v>18</v>
      </c>
      <c r="B48" s="11" t="s">
        <v>12</v>
      </c>
      <c r="C48" s="11" t="s">
        <v>20</v>
      </c>
      <c r="D48" s="11" t="s">
        <v>14</v>
      </c>
      <c r="E48" s="11" t="s">
        <v>33</v>
      </c>
      <c r="F48" s="11" t="s">
        <v>34</v>
      </c>
      <c r="G48" s="12">
        <v>407.87224580804252</v>
      </c>
      <c r="H48" s="13">
        <v>25.260985782438361</v>
      </c>
      <c r="I48" s="12">
        <v>7.62527344419522E-2</v>
      </c>
      <c r="J48" s="12">
        <v>5.5191565850267597E-2</v>
      </c>
      <c r="K48" s="12">
        <v>5.7331964921936969</v>
      </c>
      <c r="L48" s="12" t="s">
        <v>39</v>
      </c>
    </row>
    <row r="49" spans="1:12" hidden="1" x14ac:dyDescent="0.3">
      <c r="A49" s="11" t="s">
        <v>24</v>
      </c>
      <c r="B49" s="11" t="s">
        <v>25</v>
      </c>
      <c r="C49" s="11" t="s">
        <v>40</v>
      </c>
      <c r="D49" s="11" t="s">
        <v>38</v>
      </c>
      <c r="E49" s="11" t="s">
        <v>15</v>
      </c>
      <c r="F49" s="11" t="s">
        <v>22</v>
      </c>
      <c r="G49" s="12">
        <v>711.42444524378311</v>
      </c>
      <c r="H49" s="13">
        <v>23.590867738314468</v>
      </c>
      <c r="I49" s="12">
        <v>6.7333538371314408E-2</v>
      </c>
      <c r="J49" s="12">
        <v>5.9253622562344482E-2</v>
      </c>
      <c r="K49" s="12">
        <v>3.1202404273452902</v>
      </c>
      <c r="L49" s="12" t="s">
        <v>42</v>
      </c>
    </row>
    <row r="50" spans="1:12" x14ac:dyDescent="0.3">
      <c r="A50" s="11" t="s">
        <v>24</v>
      </c>
      <c r="B50" s="11" t="s">
        <v>25</v>
      </c>
      <c r="C50" s="11" t="s">
        <v>20</v>
      </c>
      <c r="D50" s="11" t="s">
        <v>14</v>
      </c>
      <c r="E50" s="11" t="s">
        <v>36</v>
      </c>
      <c r="F50" s="11" t="s">
        <v>30</v>
      </c>
      <c r="G50" s="12">
        <v>568.72365791369225</v>
      </c>
      <c r="H50" s="13">
        <v>60.438831312337953</v>
      </c>
      <c r="I50" s="12">
        <v>0.18827271201405479</v>
      </c>
      <c r="J50" s="12">
        <v>0.1281555778747564</v>
      </c>
      <c r="K50" s="12">
        <v>3.9722661653266131</v>
      </c>
      <c r="L50" s="12" t="s">
        <v>39</v>
      </c>
    </row>
    <row r="51" spans="1:12" hidden="1" x14ac:dyDescent="0.3">
      <c r="A51" s="11" t="s">
        <v>24</v>
      </c>
      <c r="B51" s="11" t="s">
        <v>25</v>
      </c>
      <c r="C51" s="11" t="s">
        <v>40</v>
      </c>
      <c r="D51" s="11" t="s">
        <v>21</v>
      </c>
      <c r="E51" s="11" t="s">
        <v>15</v>
      </c>
      <c r="F51" s="11" t="s">
        <v>22</v>
      </c>
      <c r="G51" s="12">
        <v>147.39196892745321</v>
      </c>
      <c r="H51" s="13">
        <v>55.939693464663719</v>
      </c>
      <c r="I51" s="12">
        <v>0.12024908554804779</v>
      </c>
      <c r="J51" s="12">
        <v>0.17865528482881529</v>
      </c>
      <c r="K51" s="12">
        <v>2.8815729562220969</v>
      </c>
      <c r="L51" s="12" t="s">
        <v>39</v>
      </c>
    </row>
    <row r="52" spans="1:12" hidden="1" x14ac:dyDescent="0.3">
      <c r="A52" s="11" t="s">
        <v>43</v>
      </c>
      <c r="B52" s="11" t="s">
        <v>25</v>
      </c>
      <c r="C52" s="11" t="s">
        <v>20</v>
      </c>
      <c r="D52" s="11" t="s">
        <v>26</v>
      </c>
      <c r="E52" s="11" t="s">
        <v>33</v>
      </c>
      <c r="F52" s="11" t="s">
        <v>30</v>
      </c>
      <c r="G52" s="12">
        <v>564.81679387895906</v>
      </c>
      <c r="H52" s="13">
        <v>55.009857006917528</v>
      </c>
      <c r="I52" s="12">
        <v>3.6955802283247741E-2</v>
      </c>
      <c r="J52" s="12">
        <v>0.23109075655980049</v>
      </c>
      <c r="K52" s="12">
        <v>4.8746418054536562</v>
      </c>
      <c r="L52" s="12" t="s">
        <v>17</v>
      </c>
    </row>
    <row r="53" spans="1:12" hidden="1" x14ac:dyDescent="0.3">
      <c r="A53" s="11" t="s">
        <v>43</v>
      </c>
      <c r="B53" s="11" t="s">
        <v>12</v>
      </c>
      <c r="C53" s="11" t="s">
        <v>20</v>
      </c>
      <c r="D53" s="11" t="s">
        <v>21</v>
      </c>
      <c r="E53" s="11" t="s">
        <v>29</v>
      </c>
      <c r="F53" s="11" t="s">
        <v>30</v>
      </c>
      <c r="G53" s="12">
        <v>422.98354391673672</v>
      </c>
      <c r="H53" s="13">
        <v>56.928964189939506</v>
      </c>
      <c r="I53" s="12">
        <v>0.14589309735273881</v>
      </c>
      <c r="J53" s="12">
        <v>0.34753562169495522</v>
      </c>
      <c r="K53" s="12">
        <v>6.9102846410024767</v>
      </c>
      <c r="L53" s="12" t="s">
        <v>31</v>
      </c>
    </row>
    <row r="54" spans="1:12" hidden="1" x14ac:dyDescent="0.3">
      <c r="A54" s="11" t="s">
        <v>18</v>
      </c>
      <c r="B54" s="11" t="s">
        <v>12</v>
      </c>
      <c r="C54" s="11" t="s">
        <v>20</v>
      </c>
      <c r="D54" s="11" t="s">
        <v>26</v>
      </c>
      <c r="E54" s="11" t="s">
        <v>29</v>
      </c>
      <c r="F54" s="11" t="s">
        <v>30</v>
      </c>
      <c r="G54" s="12">
        <v>364.61559993880832</v>
      </c>
      <c r="H54" s="13">
        <v>36.399505568430193</v>
      </c>
      <c r="I54" s="12">
        <v>0.20610780985063171</v>
      </c>
      <c r="J54" s="12">
        <v>0.28576596232020202</v>
      </c>
      <c r="K54" s="12">
        <v>3.028547907328913</v>
      </c>
      <c r="L54" s="12" t="s">
        <v>35</v>
      </c>
    </row>
    <row r="55" spans="1:12" hidden="1" x14ac:dyDescent="0.3">
      <c r="A55" s="11" t="s">
        <v>24</v>
      </c>
      <c r="B55" s="11" t="s">
        <v>19</v>
      </c>
      <c r="C55" s="11" t="s">
        <v>32</v>
      </c>
      <c r="D55" s="11" t="s">
        <v>38</v>
      </c>
      <c r="E55" s="11" t="s">
        <v>36</v>
      </c>
      <c r="F55" s="11" t="s">
        <v>16</v>
      </c>
      <c r="G55" s="12">
        <v>622.33525776817362</v>
      </c>
      <c r="H55" s="13">
        <v>54.645073943220069</v>
      </c>
      <c r="I55" s="12">
        <v>0.15162326302755741</v>
      </c>
      <c r="J55" s="12">
        <v>0.18400614700365731</v>
      </c>
      <c r="K55" s="12">
        <v>6.0080930310356884</v>
      </c>
      <c r="L55" s="12" t="s">
        <v>42</v>
      </c>
    </row>
    <row r="56" spans="1:12" hidden="1" x14ac:dyDescent="0.3">
      <c r="A56" s="11" t="s">
        <v>24</v>
      </c>
      <c r="B56" s="11" t="s">
        <v>19</v>
      </c>
      <c r="C56" s="11" t="s">
        <v>32</v>
      </c>
      <c r="D56" s="11" t="s">
        <v>21</v>
      </c>
      <c r="E56" s="11" t="s">
        <v>15</v>
      </c>
      <c r="F56" s="11" t="s">
        <v>22</v>
      </c>
      <c r="G56" s="12">
        <v>706.19990449919021</v>
      </c>
      <c r="H56" s="13">
        <v>55.861449465973621</v>
      </c>
      <c r="I56" s="12">
        <v>2.403150170229933E-2</v>
      </c>
      <c r="J56" s="12">
        <v>0.19809837920973111</v>
      </c>
      <c r="K56" s="12">
        <v>3.939484763255118</v>
      </c>
      <c r="L56" s="12" t="s">
        <v>44</v>
      </c>
    </row>
    <row r="57" spans="1:12" hidden="1" x14ac:dyDescent="0.3">
      <c r="A57" s="11" t="s">
        <v>28</v>
      </c>
      <c r="B57" s="11" t="s">
        <v>19</v>
      </c>
      <c r="C57" s="11" t="s">
        <v>13</v>
      </c>
      <c r="D57" s="11" t="s">
        <v>14</v>
      </c>
      <c r="E57" s="11" t="s">
        <v>15</v>
      </c>
      <c r="F57" s="11" t="s">
        <v>34</v>
      </c>
      <c r="G57" s="12">
        <v>686.25602382323973</v>
      </c>
      <c r="H57" s="13">
        <v>35.712971639472642</v>
      </c>
      <c r="I57" s="12">
        <v>7.5788296356687435E-2</v>
      </c>
      <c r="J57" s="12">
        <v>9.9747063536219122E-2</v>
      </c>
      <c r="K57" s="12">
        <v>3.4142543354753121</v>
      </c>
      <c r="L57" s="12" t="s">
        <v>39</v>
      </c>
    </row>
    <row r="58" spans="1:12" hidden="1" x14ac:dyDescent="0.3">
      <c r="A58" s="11" t="s">
        <v>43</v>
      </c>
      <c r="B58" s="11" t="s">
        <v>19</v>
      </c>
      <c r="C58" s="11" t="s">
        <v>13</v>
      </c>
      <c r="D58" s="11" t="s">
        <v>26</v>
      </c>
      <c r="E58" s="11" t="s">
        <v>36</v>
      </c>
      <c r="F58" s="11" t="s">
        <v>34</v>
      </c>
      <c r="G58" s="12">
        <v>332.15649535547232</v>
      </c>
      <c r="H58" s="13">
        <v>87.315490222895136</v>
      </c>
      <c r="I58" s="12">
        <v>0.16334555745933119</v>
      </c>
      <c r="J58" s="12">
        <v>0.198148686400761</v>
      </c>
      <c r="K58" s="12">
        <v>4.7859392800908847</v>
      </c>
      <c r="L58" s="12" t="s">
        <v>31</v>
      </c>
    </row>
    <row r="59" spans="1:12" hidden="1" x14ac:dyDescent="0.3">
      <c r="A59" s="11" t="s">
        <v>24</v>
      </c>
      <c r="B59" s="11" t="s">
        <v>12</v>
      </c>
      <c r="C59" s="11" t="s">
        <v>40</v>
      </c>
      <c r="D59" s="11" t="s">
        <v>26</v>
      </c>
      <c r="E59" s="11" t="s">
        <v>29</v>
      </c>
      <c r="F59" s="11" t="s">
        <v>22</v>
      </c>
      <c r="G59" s="12">
        <v>438.15752482975711</v>
      </c>
      <c r="H59" s="13">
        <v>59.476658418235751</v>
      </c>
      <c r="I59" s="12">
        <v>6.4616526719060957E-2</v>
      </c>
      <c r="J59" s="12">
        <v>0.1711341361079862</v>
      </c>
      <c r="K59" s="12">
        <v>2.9295153551612518</v>
      </c>
      <c r="L59" s="12" t="s">
        <v>23</v>
      </c>
    </row>
    <row r="60" spans="1:12" hidden="1" x14ac:dyDescent="0.3">
      <c r="A60" s="11" t="s">
        <v>18</v>
      </c>
      <c r="B60" s="11" t="s">
        <v>25</v>
      </c>
      <c r="C60" s="11" t="s">
        <v>32</v>
      </c>
      <c r="D60" s="11" t="s">
        <v>21</v>
      </c>
      <c r="E60" s="11" t="s">
        <v>33</v>
      </c>
      <c r="F60" s="11" t="s">
        <v>16</v>
      </c>
      <c r="G60" s="12">
        <v>566.25268628071285</v>
      </c>
      <c r="H60" s="13">
        <v>26.173930055947029</v>
      </c>
      <c r="I60" s="12">
        <v>0.1221909714073114</v>
      </c>
      <c r="J60" s="12">
        <v>0.23227185603380901</v>
      </c>
      <c r="K60" s="12">
        <v>3.8927013893056359</v>
      </c>
      <c r="L60" s="12" t="s">
        <v>27</v>
      </c>
    </row>
    <row r="61" spans="1:12" hidden="1" x14ac:dyDescent="0.3">
      <c r="A61" s="11" t="s">
        <v>18</v>
      </c>
      <c r="B61" s="11" t="s">
        <v>12</v>
      </c>
      <c r="C61" s="11" t="s">
        <v>40</v>
      </c>
      <c r="D61" s="11" t="s">
        <v>38</v>
      </c>
      <c r="E61" s="11" t="s">
        <v>36</v>
      </c>
      <c r="F61" s="11" t="s">
        <v>16</v>
      </c>
      <c r="G61" s="12">
        <v>695.10902542447184</v>
      </c>
      <c r="H61" s="13">
        <v>63.131072172676603</v>
      </c>
      <c r="I61" s="12">
        <v>0.13873170267146681</v>
      </c>
      <c r="J61" s="12">
        <v>0.1172769056447677</v>
      </c>
      <c r="K61" s="12">
        <v>2.6042442148223031</v>
      </c>
      <c r="L61" s="12" t="s">
        <v>17</v>
      </c>
    </row>
    <row r="62" spans="1:12" hidden="1" x14ac:dyDescent="0.3">
      <c r="A62" s="11" t="s">
        <v>24</v>
      </c>
      <c r="B62" s="11" t="s">
        <v>19</v>
      </c>
      <c r="C62" s="11" t="s">
        <v>13</v>
      </c>
      <c r="D62" s="11" t="s">
        <v>21</v>
      </c>
      <c r="E62" s="11" t="s">
        <v>33</v>
      </c>
      <c r="F62" s="11" t="s">
        <v>30</v>
      </c>
      <c r="G62" s="12">
        <v>404.16515243094199</v>
      </c>
      <c r="H62" s="13">
        <v>30.506366595453571</v>
      </c>
      <c r="I62" s="12">
        <v>5.3653476421095858E-2</v>
      </c>
      <c r="J62" s="12">
        <v>0.25193465142411731</v>
      </c>
      <c r="K62" s="12">
        <v>8.929450265832779</v>
      </c>
      <c r="L62" s="12" t="s">
        <v>35</v>
      </c>
    </row>
    <row r="63" spans="1:12" hidden="1" x14ac:dyDescent="0.3">
      <c r="A63" s="11" t="s">
        <v>43</v>
      </c>
      <c r="B63" s="11" t="s">
        <v>12</v>
      </c>
      <c r="C63" s="11" t="s">
        <v>40</v>
      </c>
      <c r="D63" s="11" t="s">
        <v>38</v>
      </c>
      <c r="E63" s="11" t="s">
        <v>29</v>
      </c>
      <c r="F63" s="11" t="s">
        <v>22</v>
      </c>
      <c r="G63" s="12">
        <v>462.86820466723663</v>
      </c>
      <c r="H63" s="13">
        <v>65.741692074849041</v>
      </c>
      <c r="I63" s="12">
        <v>9.7023732196910004E-2</v>
      </c>
      <c r="J63" s="12">
        <v>0.35327389130025783</v>
      </c>
      <c r="K63" s="12">
        <v>5.0705271039434576</v>
      </c>
      <c r="L63" s="12" t="s">
        <v>41</v>
      </c>
    </row>
    <row r="64" spans="1:12" hidden="1" x14ac:dyDescent="0.3">
      <c r="A64" s="11" t="s">
        <v>18</v>
      </c>
      <c r="B64" s="11" t="s">
        <v>25</v>
      </c>
      <c r="C64" s="11" t="s">
        <v>13</v>
      </c>
      <c r="D64" s="11" t="s">
        <v>38</v>
      </c>
      <c r="E64" s="11" t="s">
        <v>15</v>
      </c>
      <c r="F64" s="11" t="s">
        <v>22</v>
      </c>
      <c r="G64" s="12">
        <v>278.73300519879427</v>
      </c>
      <c r="H64" s="13">
        <v>73.171911580148077</v>
      </c>
      <c r="I64" s="12">
        <v>0</v>
      </c>
      <c r="J64" s="12">
        <v>0.18912398515431431</v>
      </c>
      <c r="K64" s="12">
        <v>3.600548984014829</v>
      </c>
      <c r="L64" s="12" t="s">
        <v>17</v>
      </c>
    </row>
    <row r="65" spans="1:12" hidden="1" x14ac:dyDescent="0.3">
      <c r="A65" s="11" t="s">
        <v>28</v>
      </c>
      <c r="B65" s="11" t="s">
        <v>25</v>
      </c>
      <c r="C65" s="11" t="s">
        <v>32</v>
      </c>
      <c r="D65" s="11" t="s">
        <v>26</v>
      </c>
      <c r="E65" s="11" t="s">
        <v>29</v>
      </c>
      <c r="F65" s="11" t="s">
        <v>34</v>
      </c>
      <c r="G65" s="12">
        <v>260.75867518386588</v>
      </c>
      <c r="H65" s="13">
        <v>33.586353632965789</v>
      </c>
      <c r="I65" s="12">
        <v>4.878061793328551E-2</v>
      </c>
      <c r="J65" s="12">
        <v>0.24017117220989409</v>
      </c>
      <c r="K65" s="12">
        <v>5.4279598214684439</v>
      </c>
      <c r="L65" s="12" t="s">
        <v>23</v>
      </c>
    </row>
    <row r="66" spans="1:12" x14ac:dyDescent="0.3">
      <c r="A66" s="11" t="s">
        <v>18</v>
      </c>
      <c r="B66" s="11" t="s">
        <v>12</v>
      </c>
      <c r="C66" s="11" t="s">
        <v>20</v>
      </c>
      <c r="D66" s="11" t="s">
        <v>21</v>
      </c>
      <c r="E66" s="11" t="s">
        <v>36</v>
      </c>
      <c r="F66" s="11" t="s">
        <v>22</v>
      </c>
      <c r="G66" s="12">
        <v>662.50516447883956</v>
      </c>
      <c r="H66" s="13">
        <v>69.267522584886436</v>
      </c>
      <c r="I66" s="12">
        <v>8.7371592430341982E-2</v>
      </c>
      <c r="J66" s="12">
        <v>0.26901439917111131</v>
      </c>
      <c r="K66" s="12">
        <v>4.7753439006183402</v>
      </c>
      <c r="L66" s="12" t="s">
        <v>27</v>
      </c>
    </row>
    <row r="67" spans="1:12" hidden="1" x14ac:dyDescent="0.3">
      <c r="A67" s="11" t="s">
        <v>11</v>
      </c>
      <c r="B67" s="11" t="s">
        <v>12</v>
      </c>
      <c r="C67" s="11" t="s">
        <v>32</v>
      </c>
      <c r="D67" s="11" t="s">
        <v>21</v>
      </c>
      <c r="E67" s="11" t="s">
        <v>15</v>
      </c>
      <c r="F67" s="11" t="s">
        <v>16</v>
      </c>
      <c r="G67" s="12">
        <v>771.24800571416461</v>
      </c>
      <c r="H67" s="13">
        <v>58.255618538729962</v>
      </c>
      <c r="I67" s="12">
        <v>3.7610840901757529E-2</v>
      </c>
      <c r="J67" s="12">
        <v>0.1598779528114164</v>
      </c>
      <c r="K67" s="12">
        <v>4.5580608009335544</v>
      </c>
      <c r="L67" s="12" t="s">
        <v>23</v>
      </c>
    </row>
    <row r="68" spans="1:12" hidden="1" x14ac:dyDescent="0.3">
      <c r="A68" s="11" t="s">
        <v>11</v>
      </c>
      <c r="B68" s="11" t="s">
        <v>12</v>
      </c>
      <c r="C68" s="11" t="s">
        <v>40</v>
      </c>
      <c r="D68" s="11" t="s">
        <v>38</v>
      </c>
      <c r="E68" s="11" t="s">
        <v>36</v>
      </c>
      <c r="F68" s="11" t="s">
        <v>22</v>
      </c>
      <c r="G68" s="12">
        <v>485.59797568393321</v>
      </c>
      <c r="H68" s="13">
        <v>66.441203199889799</v>
      </c>
      <c r="I68" s="12">
        <v>0.18162056519658179</v>
      </c>
      <c r="J68" s="12">
        <v>0.22240924818104171</v>
      </c>
      <c r="K68" s="12">
        <v>6.22833340008685</v>
      </c>
      <c r="L68" s="12" t="s">
        <v>42</v>
      </c>
    </row>
    <row r="69" spans="1:12" hidden="1" x14ac:dyDescent="0.3">
      <c r="A69" s="11" t="s">
        <v>43</v>
      </c>
      <c r="B69" s="11" t="s">
        <v>19</v>
      </c>
      <c r="C69" s="11" t="s">
        <v>40</v>
      </c>
      <c r="D69" s="11" t="s">
        <v>21</v>
      </c>
      <c r="E69" s="11" t="s">
        <v>36</v>
      </c>
      <c r="F69" s="11" t="s">
        <v>34</v>
      </c>
      <c r="G69" s="12">
        <v>700.7065795784049</v>
      </c>
      <c r="H69" s="13">
        <v>87.93585965307895</v>
      </c>
      <c r="I69" s="12">
        <v>2.849293110196836E-2</v>
      </c>
      <c r="J69" s="12">
        <v>0.2012592400781795</v>
      </c>
      <c r="K69" s="12">
        <v>6.5150154200946098</v>
      </c>
      <c r="L69" s="12" t="s">
        <v>39</v>
      </c>
    </row>
    <row r="70" spans="1:12" hidden="1" x14ac:dyDescent="0.3">
      <c r="A70" s="11" t="s">
        <v>24</v>
      </c>
      <c r="B70" s="11" t="s">
        <v>12</v>
      </c>
      <c r="C70" s="11" t="s">
        <v>32</v>
      </c>
      <c r="D70" s="11" t="s">
        <v>14</v>
      </c>
      <c r="E70" s="11" t="s">
        <v>29</v>
      </c>
      <c r="F70" s="11" t="s">
        <v>30</v>
      </c>
      <c r="G70" s="12">
        <v>572.32720500952678</v>
      </c>
      <c r="H70" s="13">
        <v>45.092237679942592</v>
      </c>
      <c r="I70" s="12">
        <v>7.7997775665150815E-2</v>
      </c>
      <c r="J70" s="12">
        <v>0.20976760985488321</v>
      </c>
      <c r="K70" s="12">
        <v>3.9389977047789451</v>
      </c>
      <c r="L70" s="12" t="s">
        <v>35</v>
      </c>
    </row>
    <row r="71" spans="1:12" hidden="1" x14ac:dyDescent="0.3">
      <c r="A71" s="11" t="s">
        <v>43</v>
      </c>
      <c r="B71" s="11" t="s">
        <v>12</v>
      </c>
      <c r="C71" s="11" t="s">
        <v>32</v>
      </c>
      <c r="D71" s="11" t="s">
        <v>14</v>
      </c>
      <c r="E71" s="11" t="s">
        <v>36</v>
      </c>
      <c r="F71" s="11" t="s">
        <v>34</v>
      </c>
      <c r="G71" s="12">
        <v>370.97604907897522</v>
      </c>
      <c r="H71" s="13">
        <v>34.925276712850213</v>
      </c>
      <c r="I71" s="12">
        <v>0.10653702886430461</v>
      </c>
      <c r="J71" s="12">
        <v>0.1226990216144534</v>
      </c>
      <c r="K71" s="12">
        <v>3.8483635187106402</v>
      </c>
      <c r="L71" s="12" t="s">
        <v>37</v>
      </c>
    </row>
    <row r="72" spans="1:12" hidden="1" x14ac:dyDescent="0.3">
      <c r="A72" s="11" t="s">
        <v>43</v>
      </c>
      <c r="B72" s="11" t="s">
        <v>12</v>
      </c>
      <c r="C72" s="11" t="s">
        <v>13</v>
      </c>
      <c r="D72" s="11" t="s">
        <v>21</v>
      </c>
      <c r="E72" s="11" t="s">
        <v>29</v>
      </c>
      <c r="F72" s="11" t="s">
        <v>34</v>
      </c>
      <c r="G72" s="12">
        <v>572.27912110168279</v>
      </c>
      <c r="H72" s="13">
        <v>32.209711407489543</v>
      </c>
      <c r="I72" s="12">
        <v>0.17206366445330579</v>
      </c>
      <c r="J72" s="12">
        <v>0.2024510174258943</v>
      </c>
      <c r="K72" s="12">
        <v>4.4498966056967122</v>
      </c>
      <c r="L72" s="12" t="s">
        <v>39</v>
      </c>
    </row>
    <row r="73" spans="1:12" hidden="1" x14ac:dyDescent="0.3">
      <c r="A73" s="11" t="s">
        <v>43</v>
      </c>
      <c r="B73" s="11" t="s">
        <v>25</v>
      </c>
      <c r="C73" s="11" t="s">
        <v>40</v>
      </c>
      <c r="D73" s="11" t="s">
        <v>21</v>
      </c>
      <c r="E73" s="11" t="s">
        <v>15</v>
      </c>
      <c r="F73" s="11" t="s">
        <v>30</v>
      </c>
      <c r="G73" s="12">
        <v>807.60731329319378</v>
      </c>
      <c r="H73" s="13">
        <v>33.683794300691233</v>
      </c>
      <c r="I73" s="12">
        <v>2.8206892441028031E-2</v>
      </c>
      <c r="J73" s="12">
        <v>0.24979982912454499</v>
      </c>
      <c r="K73" s="12">
        <v>1</v>
      </c>
      <c r="L73" s="12" t="s">
        <v>37</v>
      </c>
    </row>
    <row r="74" spans="1:12" hidden="1" x14ac:dyDescent="0.3">
      <c r="A74" s="11" t="s">
        <v>43</v>
      </c>
      <c r="B74" s="11" t="s">
        <v>25</v>
      </c>
      <c r="C74" s="11" t="s">
        <v>40</v>
      </c>
      <c r="D74" s="11" t="s">
        <v>38</v>
      </c>
      <c r="E74" s="11" t="s">
        <v>29</v>
      </c>
      <c r="F74" s="11" t="s">
        <v>34</v>
      </c>
      <c r="G74" s="12">
        <v>492.83479217800971</v>
      </c>
      <c r="H74" s="13">
        <v>48.457965811717919</v>
      </c>
      <c r="I74" s="12">
        <v>0.158158187607748</v>
      </c>
      <c r="J74" s="12">
        <v>0.34511436077950419</v>
      </c>
      <c r="K74" s="12">
        <v>1.969617875602895</v>
      </c>
      <c r="L74" s="12" t="s">
        <v>27</v>
      </c>
    </row>
    <row r="75" spans="1:12" hidden="1" x14ac:dyDescent="0.3">
      <c r="A75" s="11" t="s">
        <v>28</v>
      </c>
      <c r="B75" s="11" t="s">
        <v>19</v>
      </c>
      <c r="C75" s="11" t="s">
        <v>32</v>
      </c>
      <c r="D75" s="11" t="s">
        <v>14</v>
      </c>
      <c r="E75" s="11" t="s">
        <v>15</v>
      </c>
      <c r="F75" s="11" t="s">
        <v>34</v>
      </c>
      <c r="G75" s="12">
        <v>812.92873116280123</v>
      </c>
      <c r="H75" s="13">
        <v>56.823039496332868</v>
      </c>
      <c r="I75" s="12">
        <v>0.10051165305097939</v>
      </c>
      <c r="J75" s="12">
        <v>0.29592708260852069</v>
      </c>
      <c r="K75" s="12">
        <v>7.7337485348890489</v>
      </c>
      <c r="L75" s="12" t="s">
        <v>31</v>
      </c>
    </row>
    <row r="76" spans="1:12" hidden="1" x14ac:dyDescent="0.3">
      <c r="A76" s="11" t="s">
        <v>28</v>
      </c>
      <c r="B76" s="11" t="s">
        <v>19</v>
      </c>
      <c r="C76" s="11" t="s">
        <v>20</v>
      </c>
      <c r="D76" s="11" t="s">
        <v>14</v>
      </c>
      <c r="E76" s="11" t="s">
        <v>29</v>
      </c>
      <c r="F76" s="11" t="s">
        <v>22</v>
      </c>
      <c r="G76" s="12">
        <v>0</v>
      </c>
      <c r="H76" s="13">
        <v>55.533815986600381</v>
      </c>
      <c r="I76" s="12">
        <v>5.0924567447602459E-2</v>
      </c>
      <c r="J76" s="12">
        <v>0.41531824575115572</v>
      </c>
      <c r="K76" s="12">
        <v>8.2899354270025682</v>
      </c>
      <c r="L76" s="12" t="s">
        <v>41</v>
      </c>
    </row>
    <row r="77" spans="1:12" hidden="1" x14ac:dyDescent="0.3">
      <c r="A77" s="11" t="s">
        <v>18</v>
      </c>
      <c r="B77" s="11" t="s">
        <v>25</v>
      </c>
      <c r="C77" s="11" t="s">
        <v>40</v>
      </c>
      <c r="D77" s="11" t="s">
        <v>26</v>
      </c>
      <c r="E77" s="11" t="s">
        <v>33</v>
      </c>
      <c r="F77" s="11" t="s">
        <v>22</v>
      </c>
      <c r="G77" s="12">
        <v>664.38050087504473</v>
      </c>
      <c r="H77" s="13">
        <v>66.543664980720479</v>
      </c>
      <c r="I77" s="12">
        <v>0.1231051737131635</v>
      </c>
      <c r="J77" s="12">
        <v>0.1232652437111951</v>
      </c>
      <c r="K77" s="12">
        <v>4.5019279208872431</v>
      </c>
      <c r="L77" s="12" t="s">
        <v>44</v>
      </c>
    </row>
    <row r="78" spans="1:12" hidden="1" x14ac:dyDescent="0.3">
      <c r="A78" s="11" t="s">
        <v>11</v>
      </c>
      <c r="B78" s="11" t="s">
        <v>25</v>
      </c>
      <c r="C78" s="11" t="s">
        <v>20</v>
      </c>
      <c r="D78" s="11" t="s">
        <v>38</v>
      </c>
      <c r="E78" s="11" t="s">
        <v>33</v>
      </c>
      <c r="F78" s="11" t="s">
        <v>30</v>
      </c>
      <c r="G78" s="12">
        <v>517.40941364763421</v>
      </c>
      <c r="H78" s="13">
        <v>50.260037837558137</v>
      </c>
      <c r="I78" s="12">
        <v>0.1099529847786735</v>
      </c>
      <c r="J78" s="12">
        <v>0.28723206367206783</v>
      </c>
      <c r="K78" s="12">
        <v>6.1531139261115326</v>
      </c>
      <c r="L78" s="12" t="s">
        <v>39</v>
      </c>
    </row>
    <row r="79" spans="1:12" hidden="1" x14ac:dyDescent="0.3">
      <c r="A79" s="11" t="s">
        <v>43</v>
      </c>
      <c r="B79" s="11" t="s">
        <v>25</v>
      </c>
      <c r="C79" s="11" t="s">
        <v>32</v>
      </c>
      <c r="D79" s="11" t="s">
        <v>26</v>
      </c>
      <c r="E79" s="11" t="s">
        <v>36</v>
      </c>
      <c r="F79" s="11" t="s">
        <v>22</v>
      </c>
      <c r="G79" s="12">
        <v>440.19852990682648</v>
      </c>
      <c r="H79" s="13">
        <v>79.070681543146335</v>
      </c>
      <c r="I79" s="12">
        <v>6.9989156142060277E-2</v>
      </c>
      <c r="J79" s="12">
        <v>0.21833420057383521</v>
      </c>
      <c r="K79" s="12">
        <v>5.622500309087072</v>
      </c>
      <c r="L79" s="12" t="s">
        <v>35</v>
      </c>
    </row>
    <row r="80" spans="1:12" hidden="1" x14ac:dyDescent="0.3">
      <c r="A80" s="11" t="s">
        <v>18</v>
      </c>
      <c r="B80" s="11" t="s">
        <v>12</v>
      </c>
      <c r="C80" s="11" t="s">
        <v>32</v>
      </c>
      <c r="D80" s="11" t="s">
        <v>14</v>
      </c>
      <c r="E80" s="11" t="s">
        <v>29</v>
      </c>
      <c r="F80" s="11" t="s">
        <v>22</v>
      </c>
      <c r="G80" s="12">
        <v>518.35215530710047</v>
      </c>
      <c r="H80" s="13">
        <v>44.706863335240882</v>
      </c>
      <c r="I80" s="12">
        <v>0.10349010424950091</v>
      </c>
      <c r="J80" s="12">
        <v>0.41898029332176723</v>
      </c>
      <c r="K80" s="12">
        <v>11.157761616910481</v>
      </c>
      <c r="L80" s="12" t="s">
        <v>23</v>
      </c>
    </row>
    <row r="81" spans="1:12" hidden="1" x14ac:dyDescent="0.3">
      <c r="A81" s="11" t="s">
        <v>11</v>
      </c>
      <c r="B81" s="11" t="s">
        <v>12</v>
      </c>
      <c r="C81" s="11" t="s">
        <v>13</v>
      </c>
      <c r="D81" s="11" t="s">
        <v>38</v>
      </c>
      <c r="E81" s="11" t="s">
        <v>29</v>
      </c>
      <c r="F81" s="11" t="s">
        <v>34</v>
      </c>
      <c r="G81" s="12">
        <v>102.4862170798214</v>
      </c>
      <c r="H81" s="13">
        <v>104.4033833317924</v>
      </c>
      <c r="I81" s="12">
        <v>8.0734320156911996E-2</v>
      </c>
      <c r="J81" s="12">
        <v>0.1191701714644849</v>
      </c>
      <c r="K81" s="12">
        <v>7.2391498228691544</v>
      </c>
      <c r="L81" s="12" t="s">
        <v>35</v>
      </c>
    </row>
    <row r="82" spans="1:12" hidden="1" x14ac:dyDescent="0.3">
      <c r="A82" s="11" t="s">
        <v>24</v>
      </c>
      <c r="B82" s="11" t="s">
        <v>25</v>
      </c>
      <c r="C82" s="11" t="s">
        <v>40</v>
      </c>
      <c r="D82" s="11" t="s">
        <v>21</v>
      </c>
      <c r="E82" s="11" t="s">
        <v>15</v>
      </c>
      <c r="F82" s="11" t="s">
        <v>16</v>
      </c>
      <c r="G82" s="12">
        <v>456.06562243249761</v>
      </c>
      <c r="H82" s="13">
        <v>62.513346955300122</v>
      </c>
      <c r="I82" s="12">
        <v>0.1056758672625624</v>
      </c>
      <c r="J82" s="12">
        <v>0.11602781578192239</v>
      </c>
      <c r="K82" s="12">
        <v>4.7441648170384667</v>
      </c>
      <c r="L82" s="12" t="s">
        <v>27</v>
      </c>
    </row>
    <row r="83" spans="1:12" x14ac:dyDescent="0.3">
      <c r="A83" s="11" t="s">
        <v>28</v>
      </c>
      <c r="B83" s="11" t="s">
        <v>12</v>
      </c>
      <c r="C83" s="11" t="s">
        <v>20</v>
      </c>
      <c r="D83" s="11" t="s">
        <v>38</v>
      </c>
      <c r="E83" s="11" t="s">
        <v>36</v>
      </c>
      <c r="F83" s="11" t="s">
        <v>22</v>
      </c>
      <c r="G83" s="12">
        <v>571.42251430234933</v>
      </c>
      <c r="H83" s="13">
        <v>32.856848871674337</v>
      </c>
      <c r="I83" s="12">
        <v>0.13310653372605241</v>
      </c>
      <c r="J83" s="12">
        <v>0.1400607354555978</v>
      </c>
      <c r="K83" s="12">
        <v>3.088919118799148</v>
      </c>
      <c r="L83" s="12" t="s">
        <v>37</v>
      </c>
    </row>
    <row r="84" spans="1:12" hidden="1" x14ac:dyDescent="0.3">
      <c r="A84" s="11" t="s">
        <v>11</v>
      </c>
      <c r="B84" s="11" t="s">
        <v>12</v>
      </c>
      <c r="C84" s="11" t="s">
        <v>13</v>
      </c>
      <c r="D84" s="11" t="s">
        <v>21</v>
      </c>
      <c r="E84" s="11" t="s">
        <v>29</v>
      </c>
      <c r="F84" s="11" t="s">
        <v>16</v>
      </c>
      <c r="G84" s="12">
        <v>795.57880894830328</v>
      </c>
      <c r="H84" s="13">
        <v>28.582150038777751</v>
      </c>
      <c r="I84" s="12">
        <v>0.1793008408072676</v>
      </c>
      <c r="J84" s="12">
        <v>0</v>
      </c>
      <c r="K84" s="12">
        <v>1.787107359484855</v>
      </c>
      <c r="L84" s="12" t="s">
        <v>23</v>
      </c>
    </row>
    <row r="85" spans="1:12" hidden="1" x14ac:dyDescent="0.3">
      <c r="A85" s="11" t="s">
        <v>24</v>
      </c>
      <c r="B85" s="11" t="s">
        <v>19</v>
      </c>
      <c r="C85" s="11" t="s">
        <v>40</v>
      </c>
      <c r="D85" s="11" t="s">
        <v>21</v>
      </c>
      <c r="E85" s="11" t="s">
        <v>36</v>
      </c>
      <c r="F85" s="11" t="s">
        <v>22</v>
      </c>
      <c r="G85" s="12">
        <v>396.34595634527051</v>
      </c>
      <c r="H85" s="13">
        <v>59.649448304863697</v>
      </c>
      <c r="I85" s="12">
        <v>3.8109225058657548E-2</v>
      </c>
      <c r="J85" s="12">
        <v>0.14742449783192391</v>
      </c>
      <c r="K85" s="12">
        <v>5.4069272717344461</v>
      </c>
      <c r="L85" s="12" t="s">
        <v>44</v>
      </c>
    </row>
    <row r="86" spans="1:12" hidden="1" x14ac:dyDescent="0.3">
      <c r="A86" s="11" t="s">
        <v>11</v>
      </c>
      <c r="B86" s="11" t="s">
        <v>25</v>
      </c>
      <c r="C86" s="11" t="s">
        <v>13</v>
      </c>
      <c r="D86" s="11" t="s">
        <v>38</v>
      </c>
      <c r="E86" s="11" t="s">
        <v>33</v>
      </c>
      <c r="F86" s="11" t="s">
        <v>22</v>
      </c>
      <c r="G86" s="12">
        <v>338.30127942136238</v>
      </c>
      <c r="H86" s="13">
        <v>45.530744293482982</v>
      </c>
      <c r="I86" s="12">
        <v>0.20665166873281329</v>
      </c>
      <c r="J86" s="12">
        <v>0.1240867338446302</v>
      </c>
      <c r="K86" s="12">
        <v>3.4872985094313931</v>
      </c>
      <c r="L86" s="12" t="s">
        <v>44</v>
      </c>
    </row>
    <row r="87" spans="1:12" hidden="1" x14ac:dyDescent="0.3">
      <c r="A87" s="11" t="s">
        <v>28</v>
      </c>
      <c r="B87" s="11" t="s">
        <v>25</v>
      </c>
      <c r="C87" s="11" t="s">
        <v>32</v>
      </c>
      <c r="D87" s="11" t="s">
        <v>21</v>
      </c>
      <c r="E87" s="11" t="s">
        <v>29</v>
      </c>
      <c r="F87" s="11" t="s">
        <v>30</v>
      </c>
      <c r="G87" s="12">
        <v>399.64859128309268</v>
      </c>
      <c r="H87" s="13">
        <v>64.280009881841835</v>
      </c>
      <c r="I87" s="12">
        <v>2.395610023874908E-3</v>
      </c>
      <c r="J87" s="12">
        <v>0.21503937864762079</v>
      </c>
      <c r="K87" s="12">
        <v>2.1554925808046521</v>
      </c>
      <c r="L87" s="12" t="s">
        <v>39</v>
      </c>
    </row>
    <row r="88" spans="1:12" hidden="1" x14ac:dyDescent="0.3">
      <c r="A88" s="11" t="s">
        <v>28</v>
      </c>
      <c r="B88" s="11" t="s">
        <v>12</v>
      </c>
      <c r="C88" s="11" t="s">
        <v>40</v>
      </c>
      <c r="D88" s="11" t="s">
        <v>26</v>
      </c>
      <c r="E88" s="11" t="s">
        <v>29</v>
      </c>
      <c r="F88" s="11" t="s">
        <v>30</v>
      </c>
      <c r="G88" s="12">
        <v>683.08042354041481</v>
      </c>
      <c r="H88" s="13">
        <v>59.464752491470897</v>
      </c>
      <c r="I88" s="12">
        <v>9.2410745248220835E-2</v>
      </c>
      <c r="J88" s="12">
        <v>0.23417559757771589</v>
      </c>
      <c r="K88" s="12">
        <v>3.7068542315149471</v>
      </c>
      <c r="L88" s="12" t="s">
        <v>27</v>
      </c>
    </row>
    <row r="89" spans="1:12" hidden="1" x14ac:dyDescent="0.3">
      <c r="A89" s="11" t="s">
        <v>18</v>
      </c>
      <c r="B89" s="11" t="s">
        <v>25</v>
      </c>
      <c r="C89" s="11" t="s">
        <v>13</v>
      </c>
      <c r="D89" s="11" t="s">
        <v>14</v>
      </c>
      <c r="E89" s="11" t="s">
        <v>36</v>
      </c>
      <c r="F89" s="11" t="s">
        <v>30</v>
      </c>
      <c r="G89" s="12">
        <v>565.75022193193695</v>
      </c>
      <c r="H89" s="13">
        <v>48.543421746862542</v>
      </c>
      <c r="I89" s="12">
        <v>0.1294158603242288</v>
      </c>
      <c r="J89" s="12">
        <v>0.38761708392158872</v>
      </c>
      <c r="K89" s="12">
        <v>2.8369039927712101</v>
      </c>
      <c r="L89" s="12" t="s">
        <v>31</v>
      </c>
    </row>
    <row r="90" spans="1:12" hidden="1" x14ac:dyDescent="0.3">
      <c r="A90" s="11" t="s">
        <v>43</v>
      </c>
      <c r="B90" s="11" t="s">
        <v>19</v>
      </c>
      <c r="C90" s="11" t="s">
        <v>13</v>
      </c>
      <c r="D90" s="11" t="s">
        <v>21</v>
      </c>
      <c r="E90" s="11" t="s">
        <v>29</v>
      </c>
      <c r="F90" s="11" t="s">
        <v>16</v>
      </c>
      <c r="G90" s="12">
        <v>394.04795924659231</v>
      </c>
      <c r="H90" s="13">
        <v>33.0641256386319</v>
      </c>
      <c r="I90" s="12">
        <v>0.11404959338675159</v>
      </c>
      <c r="J90" s="12">
        <v>0.29504238381860498</v>
      </c>
      <c r="K90" s="12">
        <v>8.3742832701451295</v>
      </c>
      <c r="L90" s="12" t="s">
        <v>27</v>
      </c>
    </row>
    <row r="91" spans="1:12" x14ac:dyDescent="0.3">
      <c r="A91" s="11" t="s">
        <v>11</v>
      </c>
      <c r="B91" s="11" t="s">
        <v>19</v>
      </c>
      <c r="C91" s="11" t="s">
        <v>20</v>
      </c>
      <c r="D91" s="11" t="s">
        <v>26</v>
      </c>
      <c r="E91" s="11" t="s">
        <v>36</v>
      </c>
      <c r="F91" s="11" t="s">
        <v>34</v>
      </c>
      <c r="G91" s="12">
        <v>602.65348662267127</v>
      </c>
      <c r="H91" s="13">
        <v>19.703055506282709</v>
      </c>
      <c r="I91" s="12">
        <v>6.8865024008970321E-2</v>
      </c>
      <c r="J91" s="12">
        <v>0.14230963443375971</v>
      </c>
      <c r="K91" s="12">
        <v>6.763279513898901</v>
      </c>
      <c r="L91" s="12" t="s">
        <v>37</v>
      </c>
    </row>
    <row r="92" spans="1:12" hidden="1" x14ac:dyDescent="0.3">
      <c r="A92" s="11" t="s">
        <v>11</v>
      </c>
      <c r="B92" s="11" t="s">
        <v>19</v>
      </c>
      <c r="C92" s="11" t="s">
        <v>13</v>
      </c>
      <c r="D92" s="11" t="s">
        <v>21</v>
      </c>
      <c r="E92" s="11" t="s">
        <v>29</v>
      </c>
      <c r="F92" s="11" t="s">
        <v>22</v>
      </c>
      <c r="G92" s="12">
        <v>519.41550986960806</v>
      </c>
      <c r="H92" s="13">
        <v>41.069700958659581</v>
      </c>
      <c r="I92" s="12">
        <v>8.9593887482136245E-2</v>
      </c>
      <c r="J92" s="12">
        <v>0.11015853286516419</v>
      </c>
      <c r="K92" s="12">
        <v>4.9840547173667664</v>
      </c>
      <c r="L92" s="12" t="s">
        <v>35</v>
      </c>
    </row>
    <row r="93" spans="1:12" hidden="1" x14ac:dyDescent="0.3">
      <c r="A93" s="11" t="s">
        <v>24</v>
      </c>
      <c r="B93" s="11" t="s">
        <v>25</v>
      </c>
      <c r="C93" s="11" t="s">
        <v>40</v>
      </c>
      <c r="D93" s="11" t="s">
        <v>14</v>
      </c>
      <c r="E93" s="11" t="s">
        <v>15</v>
      </c>
      <c r="F93" s="11" t="s">
        <v>22</v>
      </c>
      <c r="G93" s="12">
        <v>693.72899810657782</v>
      </c>
      <c r="H93" s="13">
        <v>67.127975886469443</v>
      </c>
      <c r="I93" s="12">
        <v>7.5349953267058359E-2</v>
      </c>
      <c r="J93" s="12">
        <v>0.24919191715065059</v>
      </c>
      <c r="K93" s="12">
        <v>7.9598882777800517</v>
      </c>
      <c r="L93" s="12" t="s">
        <v>44</v>
      </c>
    </row>
    <row r="94" spans="1:12" hidden="1" x14ac:dyDescent="0.3">
      <c r="A94" s="11" t="s">
        <v>28</v>
      </c>
      <c r="B94" s="11" t="s">
        <v>25</v>
      </c>
      <c r="C94" s="11" t="s">
        <v>40</v>
      </c>
      <c r="D94" s="11" t="s">
        <v>26</v>
      </c>
      <c r="E94" s="11" t="s">
        <v>36</v>
      </c>
      <c r="F94" s="11" t="s">
        <v>22</v>
      </c>
      <c r="G94" s="12">
        <v>359.58938122452952</v>
      </c>
      <c r="H94" s="13">
        <v>54.281874882604079</v>
      </c>
      <c r="I94" s="12">
        <v>7.0531762152789432E-2</v>
      </c>
      <c r="J94" s="12">
        <v>6.7976679297935799E-2</v>
      </c>
      <c r="K94" s="12">
        <v>5.1547366152952367</v>
      </c>
      <c r="L94" s="12" t="s">
        <v>35</v>
      </c>
    </row>
    <row r="95" spans="1:12" hidden="1" x14ac:dyDescent="0.3">
      <c r="A95" s="11" t="s">
        <v>11</v>
      </c>
      <c r="B95" s="11" t="s">
        <v>25</v>
      </c>
      <c r="C95" s="11" t="s">
        <v>20</v>
      </c>
      <c r="D95" s="11" t="s">
        <v>14</v>
      </c>
      <c r="E95" s="11" t="s">
        <v>29</v>
      </c>
      <c r="F95" s="11" t="s">
        <v>16</v>
      </c>
      <c r="G95" s="12">
        <v>434.46757068044627</v>
      </c>
      <c r="H95" s="13">
        <v>25.085224425760241</v>
      </c>
      <c r="I95" s="12">
        <v>0.1424801048510512</v>
      </c>
      <c r="J95" s="12">
        <v>0.38314587658543542</v>
      </c>
      <c r="K95" s="12">
        <v>3.277431597343472</v>
      </c>
      <c r="L95" s="12" t="s">
        <v>35</v>
      </c>
    </row>
    <row r="96" spans="1:12" hidden="1" x14ac:dyDescent="0.3">
      <c r="A96" s="11" t="s">
        <v>28</v>
      </c>
      <c r="B96" s="11" t="s">
        <v>25</v>
      </c>
      <c r="C96" s="11" t="s">
        <v>40</v>
      </c>
      <c r="D96" s="11" t="s">
        <v>14</v>
      </c>
      <c r="E96" s="11" t="s">
        <v>33</v>
      </c>
      <c r="F96" s="11" t="s">
        <v>30</v>
      </c>
      <c r="G96" s="12">
        <v>421.57836937356848</v>
      </c>
      <c r="H96" s="13">
        <v>53.46361851702364</v>
      </c>
      <c r="I96" s="12">
        <v>0.1178507742982524</v>
      </c>
      <c r="J96" s="12">
        <v>0.31794401207212869</v>
      </c>
      <c r="K96" s="12">
        <v>8.046248154539315</v>
      </c>
      <c r="L96" s="12" t="s">
        <v>35</v>
      </c>
    </row>
    <row r="97" spans="1:12" hidden="1" x14ac:dyDescent="0.3">
      <c r="A97" s="11" t="s">
        <v>11</v>
      </c>
      <c r="B97" s="11" t="s">
        <v>25</v>
      </c>
      <c r="C97" s="11" t="s">
        <v>32</v>
      </c>
      <c r="D97" s="11" t="s">
        <v>26</v>
      </c>
      <c r="E97" s="11" t="s">
        <v>29</v>
      </c>
      <c r="F97" s="11" t="s">
        <v>34</v>
      </c>
      <c r="G97" s="12">
        <v>207.29701037357631</v>
      </c>
      <c r="H97" s="13">
        <v>57.706347594576727</v>
      </c>
      <c r="I97" s="12">
        <v>6.5354520236967292E-2</v>
      </c>
      <c r="J97" s="12">
        <v>0.15308243478952949</v>
      </c>
      <c r="K97" s="12">
        <v>6.0778200873693171</v>
      </c>
      <c r="L97" s="12" t="s">
        <v>44</v>
      </c>
    </row>
    <row r="98" spans="1:12" hidden="1" x14ac:dyDescent="0.3">
      <c r="A98" s="11" t="s">
        <v>18</v>
      </c>
      <c r="B98" s="11" t="s">
        <v>19</v>
      </c>
      <c r="C98" s="11" t="s">
        <v>40</v>
      </c>
      <c r="D98" s="11" t="s">
        <v>26</v>
      </c>
      <c r="E98" s="11" t="s">
        <v>33</v>
      </c>
      <c r="F98" s="11" t="s">
        <v>16</v>
      </c>
      <c r="G98" s="12">
        <v>559.22405541291516</v>
      </c>
      <c r="H98" s="13">
        <v>32.322851275977342</v>
      </c>
      <c r="I98" s="12">
        <v>0.14497999377166251</v>
      </c>
      <c r="J98" s="12">
        <v>2.868654709091226E-2</v>
      </c>
      <c r="K98" s="12">
        <v>2.9255076913470872</v>
      </c>
      <c r="L98" s="12" t="s">
        <v>17</v>
      </c>
    </row>
    <row r="99" spans="1:12" hidden="1" x14ac:dyDescent="0.3">
      <c r="A99" s="11" t="s">
        <v>43</v>
      </c>
      <c r="B99" s="11" t="s">
        <v>12</v>
      </c>
      <c r="C99" s="11" t="s">
        <v>40</v>
      </c>
      <c r="D99" s="11" t="s">
        <v>26</v>
      </c>
      <c r="E99" s="11" t="s">
        <v>33</v>
      </c>
      <c r="F99" s="11" t="s">
        <v>30</v>
      </c>
      <c r="G99" s="12">
        <v>552.21105443597787</v>
      </c>
      <c r="H99" s="13">
        <v>53.074502118910559</v>
      </c>
      <c r="I99" s="12">
        <v>0.1153649760438305</v>
      </c>
      <c r="J99" s="12">
        <v>0.33538723741654131</v>
      </c>
      <c r="K99" s="12">
        <v>4.6193226438327839</v>
      </c>
      <c r="L99" s="12" t="s">
        <v>42</v>
      </c>
    </row>
    <row r="100" spans="1:12" hidden="1" x14ac:dyDescent="0.3">
      <c r="A100" s="11" t="s">
        <v>11</v>
      </c>
      <c r="B100" s="11" t="s">
        <v>19</v>
      </c>
      <c r="C100" s="11" t="s">
        <v>13</v>
      </c>
      <c r="D100" s="11" t="s">
        <v>38</v>
      </c>
      <c r="E100" s="11" t="s">
        <v>15</v>
      </c>
      <c r="F100" s="11" t="s">
        <v>16</v>
      </c>
      <c r="G100" s="12">
        <v>501.02269132849221</v>
      </c>
      <c r="H100" s="13">
        <v>51.164174368920001</v>
      </c>
      <c r="I100" s="12">
        <v>0.14064310594194801</v>
      </c>
      <c r="J100" s="12">
        <v>0.1885460154747382</v>
      </c>
      <c r="K100" s="12">
        <v>3.2487634932304861</v>
      </c>
      <c r="L100" s="12" t="s">
        <v>37</v>
      </c>
    </row>
    <row r="101" spans="1:12" hidden="1" x14ac:dyDescent="0.3">
      <c r="A101" s="11" t="s">
        <v>28</v>
      </c>
      <c r="B101" s="11" t="s">
        <v>25</v>
      </c>
      <c r="C101" s="11" t="s">
        <v>13</v>
      </c>
      <c r="D101" s="11" t="s">
        <v>26</v>
      </c>
      <c r="E101" s="11" t="s">
        <v>36</v>
      </c>
      <c r="F101" s="11" t="s">
        <v>34</v>
      </c>
      <c r="G101" s="12">
        <v>453.08257332497061</v>
      </c>
      <c r="H101" s="13">
        <v>27.140594043387541</v>
      </c>
      <c r="I101" s="12">
        <v>0.1314814420961806</v>
      </c>
      <c r="J101" s="12">
        <v>0.32378163119734621</v>
      </c>
      <c r="K101" s="12">
        <v>2.2344005380713279</v>
      </c>
      <c r="L101" s="12" t="s">
        <v>17</v>
      </c>
    </row>
  </sheetData>
  <autoFilter ref="A1:L101" xr:uid="{93F7E85F-8E72-FD40-B371-05EEA98B0083}">
    <filterColumn colId="2">
      <filters>
        <filter val="Bank Transfer"/>
      </filters>
    </filterColumn>
    <filterColumn colId="4">
      <filters>
        <filter val="In-stor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979C-EBED-7A4A-9C22-92FA89634154}">
  <dimension ref="A1:I8"/>
  <sheetViews>
    <sheetView zoomScale="156" workbookViewId="0">
      <selection activeCell="C7" sqref="C7"/>
    </sheetView>
  </sheetViews>
  <sheetFormatPr defaultColWidth="11.5546875" defaultRowHeight="16.3" x14ac:dyDescent="0.3"/>
  <cols>
    <col min="1" max="1" width="23.109375" bestFit="1" customWidth="1"/>
    <col min="2" max="2" width="15.44140625" bestFit="1" customWidth="1"/>
    <col min="3" max="3" width="11.6640625" bestFit="1" customWidth="1"/>
    <col min="4" max="4" width="12.77734375" bestFit="1" customWidth="1"/>
    <col min="5" max="5" width="14.6640625" bestFit="1" customWidth="1"/>
    <col min="6" max="6" width="16.6640625" bestFit="1" customWidth="1"/>
    <col min="7" max="7" width="12.77734375" bestFit="1" customWidth="1"/>
    <col min="8" max="10" width="19.6640625" bestFit="1" customWidth="1"/>
    <col min="11" max="11" width="24.44140625" bestFit="1" customWidth="1"/>
    <col min="12" max="12" width="24" bestFit="1" customWidth="1"/>
  </cols>
  <sheetData>
    <row r="1" spans="1:9" ht="21.1" x14ac:dyDescent="0.35">
      <c r="A1" s="3" t="s">
        <v>45</v>
      </c>
    </row>
    <row r="2" spans="1:9" x14ac:dyDescent="0.3">
      <c r="A2" s="10" t="s">
        <v>47</v>
      </c>
      <c r="B2" s="10"/>
      <c r="C2" s="10"/>
      <c r="D2" s="10"/>
      <c r="E2" s="10"/>
      <c r="F2" s="10"/>
      <c r="G2" s="10"/>
      <c r="H2" s="10"/>
      <c r="I2" s="10"/>
    </row>
    <row r="5" spans="1:9" x14ac:dyDescent="0.3">
      <c r="B5" s="5" t="s">
        <v>50</v>
      </c>
    </row>
    <row r="6" spans="1:9" x14ac:dyDescent="0.3">
      <c r="A6" s="5" t="s">
        <v>52</v>
      </c>
      <c r="B6" t="s">
        <v>43</v>
      </c>
      <c r="C6" t="s">
        <v>18</v>
      </c>
      <c r="D6" t="s">
        <v>11</v>
      </c>
      <c r="E6" t="s">
        <v>24</v>
      </c>
      <c r="F6" t="s">
        <v>28</v>
      </c>
      <c r="G6" t="s">
        <v>51</v>
      </c>
    </row>
    <row r="7" spans="1:9" x14ac:dyDescent="0.3">
      <c r="A7" s="7" t="s">
        <v>53</v>
      </c>
      <c r="B7" s="8">
        <v>9.8868350761340429E-2</v>
      </c>
      <c r="C7" s="8">
        <v>0.12948575044347371</v>
      </c>
      <c r="D7" s="8">
        <v>0.10225209806148733</v>
      </c>
      <c r="E7" s="8">
        <v>0.10376924367313188</v>
      </c>
      <c r="F7" s="8">
        <v>9.2065258798867913E-2</v>
      </c>
      <c r="G7" s="8">
        <v>0.10387801761838585</v>
      </c>
    </row>
    <row r="8" spans="1:9" x14ac:dyDescent="0.3">
      <c r="A8" s="7" t="s">
        <v>54</v>
      </c>
      <c r="B8" s="8">
        <v>0.23456791522027687</v>
      </c>
      <c r="C8" s="8">
        <v>0.20247616975178909</v>
      </c>
      <c r="D8" s="8">
        <v>0.19676548631814586</v>
      </c>
      <c r="E8" s="8">
        <v>0.21020246627897299</v>
      </c>
      <c r="F8" s="8">
        <v>0.2098750522030508</v>
      </c>
      <c r="G8" s="8">
        <v>0.21080790779404024</v>
      </c>
    </row>
  </sheetData>
  <mergeCells count="1"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C74E-1ABD-BC45-8953-E462C83A87CA}">
  <dimension ref="A1:I30"/>
  <sheetViews>
    <sheetView zoomScale="139" workbookViewId="0">
      <selection activeCell="D15" sqref="D15"/>
    </sheetView>
  </sheetViews>
  <sheetFormatPr defaultColWidth="11.5546875" defaultRowHeight="16.3" x14ac:dyDescent="0.3"/>
  <cols>
    <col min="1" max="2" width="22.109375" bestFit="1" customWidth="1"/>
    <col min="3" max="3" width="23" bestFit="1" customWidth="1"/>
    <col min="9" max="9" width="12.77734375" customWidth="1"/>
  </cols>
  <sheetData>
    <row r="1" spans="1:9" ht="21.1" x14ac:dyDescent="0.35">
      <c r="A1" s="3" t="s">
        <v>45</v>
      </c>
    </row>
    <row r="2" spans="1:9" x14ac:dyDescent="0.3">
      <c r="A2" s="10" t="s">
        <v>48</v>
      </c>
      <c r="B2" s="10"/>
      <c r="C2" s="10"/>
      <c r="D2" s="10"/>
      <c r="E2" s="10"/>
      <c r="F2" s="10"/>
      <c r="G2" s="10"/>
      <c r="H2" s="10"/>
      <c r="I2" s="10"/>
    </row>
    <row r="5" spans="1:9" x14ac:dyDescent="0.3">
      <c r="A5" s="5" t="s">
        <v>55</v>
      </c>
      <c r="B5" t="s">
        <v>57</v>
      </c>
      <c r="C5" t="s">
        <v>58</v>
      </c>
    </row>
    <row r="6" spans="1:9" x14ac:dyDescent="0.3">
      <c r="A6" s="6" t="s">
        <v>21</v>
      </c>
      <c r="B6" s="2">
        <v>500.58967525041447</v>
      </c>
      <c r="C6" s="2">
        <v>50.496523114105202</v>
      </c>
    </row>
    <row r="7" spans="1:9" x14ac:dyDescent="0.3">
      <c r="A7" s="9" t="s">
        <v>43</v>
      </c>
      <c r="B7" s="2">
        <v>519.19396281159209</v>
      </c>
      <c r="C7" s="2">
        <v>51.476852640594437</v>
      </c>
    </row>
    <row r="8" spans="1:9" x14ac:dyDescent="0.3">
      <c r="A8" s="9" t="s">
        <v>18</v>
      </c>
      <c r="B8" s="2">
        <v>567.03499684177189</v>
      </c>
      <c r="C8" s="2">
        <v>45.676182061842098</v>
      </c>
    </row>
    <row r="9" spans="1:9" x14ac:dyDescent="0.3">
      <c r="A9" s="9" t="s">
        <v>11</v>
      </c>
      <c r="B9" s="2">
        <v>518.84488527484564</v>
      </c>
      <c r="C9" s="2">
        <v>53.772721135712722</v>
      </c>
    </row>
    <row r="10" spans="1:9" x14ac:dyDescent="0.3">
      <c r="A10" s="9" t="s">
        <v>24</v>
      </c>
      <c r="B10" s="2">
        <v>422.0337209270707</v>
      </c>
      <c r="C10" s="2">
        <v>52.89406095725095</v>
      </c>
    </row>
    <row r="11" spans="1:9" x14ac:dyDescent="0.3">
      <c r="A11" s="9" t="s">
        <v>28</v>
      </c>
      <c r="B11" s="2">
        <v>491.35194902674579</v>
      </c>
      <c r="C11" s="2">
        <v>42.807912664931898</v>
      </c>
    </row>
    <row r="12" spans="1:9" x14ac:dyDescent="0.3">
      <c r="A12" s="6" t="s">
        <v>26</v>
      </c>
      <c r="B12" s="2">
        <v>441.49035055581248</v>
      </c>
      <c r="C12" s="2">
        <v>51.607411492326889</v>
      </c>
    </row>
    <row r="13" spans="1:9" x14ac:dyDescent="0.3">
      <c r="A13" s="9" t="s">
        <v>43</v>
      </c>
      <c r="B13" s="2">
        <v>399.48976976025614</v>
      </c>
      <c r="C13" s="2">
        <v>63.605860113551216</v>
      </c>
    </row>
    <row r="14" spans="1:9" x14ac:dyDescent="0.3">
      <c r="A14" s="9" t="s">
        <v>18</v>
      </c>
      <c r="B14" s="2">
        <v>528.05432655984237</v>
      </c>
      <c r="C14" s="2">
        <v>44.58169679742484</v>
      </c>
    </row>
    <row r="15" spans="1:9" x14ac:dyDescent="0.3">
      <c r="A15" s="9" t="s">
        <v>11</v>
      </c>
      <c r="B15" s="2">
        <v>419.62195139603449</v>
      </c>
      <c r="C15" s="2">
        <v>38.215984525412651</v>
      </c>
    </row>
    <row r="16" spans="1:9" x14ac:dyDescent="0.3">
      <c r="A16" s="9" t="s">
        <v>24</v>
      </c>
      <c r="B16" s="2">
        <v>403.60719750147678</v>
      </c>
      <c r="C16" s="2">
        <v>62.222079765891358</v>
      </c>
    </row>
    <row r="17" spans="1:3" x14ac:dyDescent="0.3">
      <c r="A17" s="9" t="s">
        <v>28</v>
      </c>
      <c r="B17" s="2">
        <v>451.7076326583412</v>
      </c>
      <c r="C17" s="2">
        <v>47.720081336177877</v>
      </c>
    </row>
    <row r="18" spans="1:3" x14ac:dyDescent="0.3">
      <c r="A18" s="6" t="s">
        <v>14</v>
      </c>
      <c r="B18" s="2">
        <v>479.50067916887264</v>
      </c>
      <c r="C18" s="2">
        <v>43.620928242742245</v>
      </c>
    </row>
    <row r="19" spans="1:3" x14ac:dyDescent="0.3">
      <c r="A19" s="9" t="s">
        <v>43</v>
      </c>
      <c r="B19" s="2">
        <v>384.4502791495442</v>
      </c>
      <c r="C19" s="2">
        <v>41.719389824964331</v>
      </c>
    </row>
    <row r="20" spans="1:3" x14ac:dyDescent="0.3">
      <c r="A20" s="9" t="s">
        <v>18</v>
      </c>
      <c r="B20" s="2">
        <v>467.90832515030013</v>
      </c>
      <c r="C20" s="2">
        <v>34.374500560804783</v>
      </c>
    </row>
    <row r="21" spans="1:3" x14ac:dyDescent="0.3">
      <c r="A21" s="9" t="s">
        <v>11</v>
      </c>
      <c r="B21" s="2">
        <v>469.25149155223983</v>
      </c>
      <c r="C21" s="2">
        <v>41.356824060435564</v>
      </c>
    </row>
    <row r="22" spans="1:3" x14ac:dyDescent="0.3">
      <c r="A22" s="9" t="s">
        <v>24</v>
      </c>
      <c r="B22" s="2">
        <v>560.8609947163477</v>
      </c>
      <c r="C22" s="2">
        <v>52.001236162755127</v>
      </c>
    </row>
    <row r="23" spans="1:3" x14ac:dyDescent="0.3">
      <c r="A23" s="9" t="s">
        <v>28</v>
      </c>
      <c r="B23" s="2">
        <v>501.97016179244395</v>
      </c>
      <c r="C23" s="2">
        <v>44.800130070976444</v>
      </c>
    </row>
    <row r="24" spans="1:3" x14ac:dyDescent="0.3">
      <c r="A24" s="6" t="s">
        <v>38</v>
      </c>
      <c r="B24" s="2">
        <v>511.82717264003566</v>
      </c>
      <c r="C24" s="2">
        <v>59.029857376759097</v>
      </c>
    </row>
    <row r="25" spans="1:3" x14ac:dyDescent="0.3">
      <c r="A25" s="9" t="s">
        <v>43</v>
      </c>
      <c r="B25" s="2">
        <v>465.7880822955305</v>
      </c>
      <c r="C25" s="2">
        <v>51.37671493474766</v>
      </c>
    </row>
    <row r="26" spans="1:3" x14ac:dyDescent="0.3">
      <c r="A26" s="9" t="s">
        <v>18</v>
      </c>
      <c r="B26" s="2">
        <v>613.20241906056162</v>
      </c>
      <c r="C26" s="2">
        <v>59.046331233405468</v>
      </c>
    </row>
    <row r="27" spans="1:3" x14ac:dyDescent="0.3">
      <c r="A27" s="9" t="s">
        <v>11</v>
      </c>
      <c r="B27" s="2">
        <v>439.86504645121141</v>
      </c>
      <c r="C27" s="2">
        <v>68.339959620879185</v>
      </c>
    </row>
    <row r="28" spans="1:3" x14ac:dyDescent="0.3">
      <c r="A28" s="9" t="s">
        <v>24</v>
      </c>
      <c r="B28" s="2">
        <v>666.87985150597842</v>
      </c>
      <c r="C28" s="2">
        <v>39.117970840767271</v>
      </c>
    </row>
    <row r="29" spans="1:3" x14ac:dyDescent="0.3">
      <c r="A29" s="9" t="s">
        <v>28</v>
      </c>
      <c r="B29" s="2">
        <v>487.24244295380055</v>
      </c>
      <c r="C29" s="2">
        <v>58.212053797623035</v>
      </c>
    </row>
    <row r="30" spans="1:3" x14ac:dyDescent="0.3">
      <c r="A30" s="6" t="s">
        <v>51</v>
      </c>
      <c r="B30" s="2">
        <v>479.47018672936059</v>
      </c>
      <c r="C30" s="2">
        <v>50.446091740998483</v>
      </c>
    </row>
  </sheetData>
  <mergeCells count="1"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7795-5F0D-9B49-9AEF-830365B0FF2A}">
  <dimension ref="A1:I10"/>
  <sheetViews>
    <sheetView zoomScale="150" workbookViewId="0">
      <selection activeCell="C6" sqref="C6"/>
    </sheetView>
  </sheetViews>
  <sheetFormatPr defaultColWidth="11.5546875" defaultRowHeight="16.3" x14ac:dyDescent="0.3"/>
  <cols>
    <col min="1" max="1" width="13" bestFit="1" customWidth="1"/>
    <col min="2" max="2" width="21" bestFit="1" customWidth="1"/>
    <col min="3" max="3" width="19.6640625" bestFit="1" customWidth="1"/>
  </cols>
  <sheetData>
    <row r="1" spans="1:9" ht="21.1" x14ac:dyDescent="0.35">
      <c r="A1" s="3" t="s">
        <v>45</v>
      </c>
    </row>
    <row r="2" spans="1:9" x14ac:dyDescent="0.3">
      <c r="A2" s="10" t="s">
        <v>49</v>
      </c>
      <c r="B2" s="10"/>
      <c r="C2" s="10"/>
      <c r="D2" s="10"/>
      <c r="E2" s="10"/>
      <c r="F2" s="10"/>
      <c r="G2" s="10"/>
      <c r="H2" s="10"/>
      <c r="I2" s="10"/>
    </row>
    <row r="5" spans="1:9" x14ac:dyDescent="0.3">
      <c r="A5" s="5" t="s">
        <v>55</v>
      </c>
      <c r="B5" t="s">
        <v>59</v>
      </c>
      <c r="C5" t="s">
        <v>56</v>
      </c>
    </row>
    <row r="6" spans="1:9" x14ac:dyDescent="0.3">
      <c r="A6" s="6" t="s">
        <v>29</v>
      </c>
      <c r="B6">
        <v>31</v>
      </c>
      <c r="C6" s="4">
        <v>1562.1577491593623</v>
      </c>
    </row>
    <row r="7" spans="1:9" x14ac:dyDescent="0.3">
      <c r="A7" s="6" t="s">
        <v>36</v>
      </c>
      <c r="B7">
        <v>24</v>
      </c>
      <c r="C7" s="4">
        <v>1264.4900268579836</v>
      </c>
    </row>
    <row r="8" spans="1:9" x14ac:dyDescent="0.3">
      <c r="A8" s="6" t="s">
        <v>15</v>
      </c>
      <c r="B8">
        <v>25</v>
      </c>
      <c r="C8" s="4">
        <v>1237.7818455064528</v>
      </c>
    </row>
    <row r="9" spans="1:9" x14ac:dyDescent="0.3">
      <c r="A9" s="6" t="s">
        <v>33</v>
      </c>
      <c r="B9">
        <v>20</v>
      </c>
      <c r="C9" s="4">
        <v>980.17955257604876</v>
      </c>
    </row>
    <row r="10" spans="1:9" x14ac:dyDescent="0.3">
      <c r="A10" s="6" t="s">
        <v>51</v>
      </c>
      <c r="B10">
        <v>100</v>
      </c>
      <c r="C10" s="4">
        <v>5044.6091740998454</v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</vt:lpstr>
      <vt:lpstr>PVT Analysis 1</vt:lpstr>
      <vt:lpstr>PVT Analysis 2</vt:lpstr>
      <vt:lpstr>PVT Analysis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Tezendra Thapa</cp:lastModifiedBy>
  <dcterms:created xsi:type="dcterms:W3CDTF">2024-02-28T12:51:25Z</dcterms:created>
  <dcterms:modified xsi:type="dcterms:W3CDTF">2026-08-09T17:49:36Z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