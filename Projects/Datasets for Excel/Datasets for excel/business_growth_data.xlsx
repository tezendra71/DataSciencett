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CE29770D-8690-4D66-8305-DE1EED8492C3}" xr6:coauthVersionLast="47" xr6:coauthVersionMax="47" xr10:uidLastSave="{00000000-0000-0000-0000-000000000000}"/>
  <bookViews>
    <workbookView xWindow="12946" yWindow="0" windowWidth="13232" windowHeight="1639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F202" i="1"/>
  <c r="N24" i="1" a="1"/>
  <c r="N24" i="1" s="1"/>
  <c r="N20" i="1"/>
  <c r="N21" i="1"/>
  <c r="N22" i="1"/>
  <c r="N19" i="1"/>
  <c r="M13" i="1" a="1"/>
  <c r="M13" i="1" s="1"/>
  <c r="N13" i="1" s="1"/>
  <c r="N10" i="1"/>
  <c r="N11" i="1"/>
  <c r="N9" i="1"/>
  <c r="N6" i="1"/>
  <c r="N5" i="1"/>
  <c r="N4" i="1"/>
  <c r="K23" i="1"/>
  <c r="K22" i="1"/>
  <c r="K21" i="1"/>
  <c r="K18" i="1"/>
  <c r="K17" i="1"/>
  <c r="K16" i="1"/>
  <c r="K13" i="1"/>
  <c r="K12" i="1"/>
  <c r="K11" i="1"/>
  <c r="K6" i="1"/>
  <c r="K5" i="1"/>
  <c r="K4" i="1"/>
  <c r="K7" i="1" s="1"/>
  <c r="N16" i="1" l="1"/>
  <c r="N15" i="1"/>
  <c r="N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<sst xmlns="http://schemas.openxmlformats.org/spreadsheetml/2006/main" count="438" uniqueCount="21">
  <si>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</si>
  <si>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</si>
  <si>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</si>
  <si>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</si>
  <si>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</si>
  <si>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</si>
  <si>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</si>
  <si>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</si>
  <si>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</si>
  <si>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</si>
  <si>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</si>
  <si>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</si>
  <si>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</si>
  <si>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</si>
  <si>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Totals</t>
  </si>
  <si>
    <t>Values</t>
  </si>
  <si>
    <t>Average</t>
  </si>
  <si>
    <t>Maximum</t>
  </si>
  <si>
    <t>Minimum</t>
  </si>
  <si>
    <t>Profit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</si>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</sst>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topLeftCell="D1" zoomScale="111" zoomScaleNormal="152" workbookViewId="0">
      <selection activeCell="J26" sqref="J26"/>
    </sheetView>
  </sheetViews>
  <sheetFormatPr defaultColWidth="8.875" defaultRowHeight="14.3" x14ac:dyDescent="0.25"/>
  <cols>
    <col min="1" max="2" width="16.125" customWidth="1"/>
    <col min="3" max="4" width="16.125" style="4" customWidth="1"/>
    <col min="5" max="5" width="19.375" customWidth="1"/>
    <col min="6" max="6" width="16.125" style="4" customWidth="1"/>
    <col min="11" max="11" width="12.625" bestFit="1" customWidth="1"/>
    <col min="13" max="13" width="14.75" customWidth="1"/>
  </cols>
  <sheetData>
    <row r="1" spans="1:14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14" x14ac:dyDescent="0.25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 t="str">
        <f>IF(OR(A2="North America",A2="South America"),"American","Non-American")</f>
        <v>American</v>
      </c>
    </row>
    <row r="3" spans="1:14" x14ac:dyDescent="0.25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 t="str">
        <f t="shared" ref="G3:G66" si="0">IF(OR(A3="North America",A3="South America"),"American","Non-American")</f>
        <v>Non-American</v>
      </c>
      <c r="J3" s="5" t="s">
        <v>14</v>
      </c>
      <c r="K3" s="5" t="s">
        <v>15</v>
      </c>
    </row>
    <row r="4" spans="1:14" x14ac:dyDescent="0.25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 t="str">
        <f t="shared" si="0"/>
        <v>American</v>
      </c>
      <c r="J4" t="s">
        <v>2</v>
      </c>
      <c r="K4" s="6">
        <f>SUM(C2:C201)</f>
        <v>2028364.1972564629</v>
      </c>
      <c r="M4" t="s">
        <v>6</v>
      </c>
      <c r="N4">
        <f>SUMIF($A$2:$A$201,M4,C2:C201)</f>
        <v>571940.59546133352</v>
      </c>
    </row>
    <row r="5" spans="1:14" x14ac:dyDescent="0.25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 t="str">
        <f t="shared" si="0"/>
        <v>Non-American</v>
      </c>
      <c r="J5" t="s">
        <v>3</v>
      </c>
      <c r="K5" s="6">
        <f>SUM(D2:D201)</f>
        <v>974397.10328944284</v>
      </c>
      <c r="M5" t="s">
        <v>7</v>
      </c>
      <c r="N5">
        <f t="shared" ref="N5" si="1">SUMIF($A$2:$A$201,M5,C3:C202)</f>
        <v>534490.39752493426</v>
      </c>
    </row>
    <row r="6" spans="1:14" x14ac:dyDescent="0.25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 t="str">
        <f t="shared" si="0"/>
        <v>Non-American</v>
      </c>
      <c r="J6" t="s">
        <v>5</v>
      </c>
      <c r="K6" s="6">
        <f>SUM(F2:F201)</f>
        <v>97845.048042711525</v>
      </c>
      <c r="M6" t="s">
        <v>9</v>
      </c>
      <c r="N6">
        <f>SUMIF($A$2:$A$201,M6,$C$4:$C$203)</f>
        <v>439290.48343433806</v>
      </c>
    </row>
    <row r="7" spans="1:14" x14ac:dyDescent="0.25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 t="str">
        <f t="shared" si="0"/>
        <v>American</v>
      </c>
      <c r="J7" s="5" t="s">
        <v>19</v>
      </c>
      <c r="K7" s="6">
        <f>K4-K6-K5</f>
        <v>956122.04592430848</v>
      </c>
    </row>
    <row r="8" spans="1:14" x14ac:dyDescent="0.25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 t="str">
        <f t="shared" si="0"/>
        <v>Non-American</v>
      </c>
      <c r="K8" s="6"/>
    </row>
    <row r="9" spans="1:14" x14ac:dyDescent="0.25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 t="str">
        <f t="shared" si="0"/>
        <v>Non-American</v>
      </c>
      <c r="M9" t="s">
        <v>6</v>
      </c>
      <c r="N9">
        <f>SUMIF($A$2:$A$201,M9,$F$2:$F$206)</f>
        <v>27484.240729705412</v>
      </c>
    </row>
    <row r="10" spans="1:14" x14ac:dyDescent="0.25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 t="str">
        <f t="shared" si="0"/>
        <v>American</v>
      </c>
      <c r="J10" s="5" t="s">
        <v>16</v>
      </c>
      <c r="K10" s="5" t="s">
        <v>15</v>
      </c>
      <c r="M10" t="s">
        <v>7</v>
      </c>
      <c r="N10">
        <f t="shared" ref="N10:N11" si="2">SUMIF($A$2:$A$201,M10,$F$2:$F$206)</f>
        <v>24537.725930384404</v>
      </c>
    </row>
    <row r="11" spans="1:14" x14ac:dyDescent="0.25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 t="str">
        <f t="shared" si="0"/>
        <v>Non-American</v>
      </c>
      <c r="J11" t="s">
        <v>2</v>
      </c>
      <c r="K11" s="6">
        <f>AVERAGE(C2:C201)</f>
        <v>10141.820986282315</v>
      </c>
      <c r="M11" t="s">
        <v>9</v>
      </c>
      <c r="N11">
        <f t="shared" si="2"/>
        <v>21450.965320316343</v>
      </c>
    </row>
    <row r="12" spans="1:14" x14ac:dyDescent="0.25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 t="str">
        <f t="shared" si="0"/>
        <v>American</v>
      </c>
      <c r="J12" t="s">
        <v>3</v>
      </c>
      <c r="K12" s="6">
        <f>AVERAGE(D2:D201)</f>
        <v>4871.9855164472137</v>
      </c>
    </row>
    <row r="13" spans="1:14" x14ac:dyDescent="0.25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 t="str">
        <f t="shared" si="0"/>
        <v>Non-American</v>
      </c>
      <c r="J13" t="s">
        <v>5</v>
      </c>
      <c r="K13" s="6">
        <f>AVERAGE(F2:F201)</f>
        <v>489.22524021355764</v>
      </c>
      <c r="M13" t="str" cm="1">
        <f t="array" ref="M13:M16">_xlfn.UNIQUE(E2:E201)</f>
        <v>Electronics</v>
      </c>
      <c r="N13">
        <f>SUMIF($E$2:$E$201,M13,$D$2:$D$201)</f>
        <v>268740.25306048244</v>
      </c>
    </row>
    <row r="14" spans="1:14" x14ac:dyDescent="0.25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 t="str">
        <f t="shared" si="0"/>
        <v>Non-American</v>
      </c>
      <c r="M14" t="str">
        <v>Books</v>
      </c>
      <c r="N14">
        <f t="shared" ref="N14:N16" si="3">SUMIF($E$2:$E$201,M14,$D$2:$D$201)</f>
        <v>288484.54192339571</v>
      </c>
    </row>
    <row r="15" spans="1:14" x14ac:dyDescent="0.25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 t="str">
        <f t="shared" si="0"/>
        <v>American</v>
      </c>
      <c r="J15" s="5" t="s">
        <v>17</v>
      </c>
      <c r="K15" s="5" t="s">
        <v>15</v>
      </c>
      <c r="M15" t="str">
        <v>Home &amp; Kitchen</v>
      </c>
      <c r="N15">
        <f t="shared" si="3"/>
        <v>224780.18247097792</v>
      </c>
    </row>
    <row r="16" spans="1:14" x14ac:dyDescent="0.25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 t="str">
        <f t="shared" si="0"/>
        <v>American</v>
      </c>
      <c r="J16" t="s">
        <v>2</v>
      </c>
      <c r="K16" s="6">
        <f>MAX(C2:C201)</f>
        <v>14766.289549727881</v>
      </c>
      <c r="M16" t="str">
        <v>Toys &amp; Games</v>
      </c>
      <c r="N16">
        <f t="shared" si="3"/>
        <v>192392.12583458639</v>
      </c>
    </row>
    <row r="17" spans="1:14" x14ac:dyDescent="0.25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 t="str">
        <f t="shared" si="0"/>
        <v>American</v>
      </c>
      <c r="J17" t="s">
        <v>3</v>
      </c>
      <c r="K17" s="6">
        <f>MAX(D2:D201)</f>
        <v>7303.9166976839424</v>
      </c>
    </row>
    <row r="18" spans="1:14" x14ac:dyDescent="0.25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 t="str">
        <f t="shared" si="0"/>
        <v>American</v>
      </c>
      <c r="J18" t="s">
        <v>5</v>
      </c>
      <c r="K18" s="6">
        <f>MAX(F2:F201)</f>
        <v>769.62240525635798</v>
      </c>
    </row>
    <row r="19" spans="1:14" x14ac:dyDescent="0.25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 t="str">
        <f t="shared" si="0"/>
        <v>Non-American</v>
      </c>
      <c r="M19" t="s">
        <v>10</v>
      </c>
      <c r="N19">
        <f>COUNTIF(E2:E201,M19)</f>
        <v>57</v>
      </c>
    </row>
    <row r="20" spans="1:14" x14ac:dyDescent="0.25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 t="str">
        <f t="shared" si="0"/>
        <v>American</v>
      </c>
      <c r="J20" s="5" t="s">
        <v>18</v>
      </c>
      <c r="K20" s="5" t="s">
        <v>15</v>
      </c>
      <c r="M20" t="s">
        <v>11</v>
      </c>
      <c r="N20">
        <f t="shared" ref="N20:N22" si="4">COUNTIF(E3:E202,M20)</f>
        <v>57</v>
      </c>
    </row>
    <row r="21" spans="1:14" x14ac:dyDescent="0.25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 t="str">
        <f t="shared" si="0"/>
        <v>American</v>
      </c>
      <c r="J21" t="s">
        <v>2</v>
      </c>
      <c r="K21" s="6">
        <f>MIN(C2:C201)</f>
        <v>4894.0203683318423</v>
      </c>
      <c r="M21" t="s">
        <v>12</v>
      </c>
      <c r="N21">
        <f t="shared" si="4"/>
        <v>46</v>
      </c>
    </row>
    <row r="22" spans="1:14" x14ac:dyDescent="0.25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 t="str">
        <f t="shared" si="0"/>
        <v>American</v>
      </c>
      <c r="J22" t="s">
        <v>3</v>
      </c>
      <c r="K22" s="6">
        <f>MIN(D2:D201)</f>
        <v>2227.4072435733501</v>
      </c>
      <c r="M22" t="s">
        <v>13</v>
      </c>
      <c r="N22">
        <f t="shared" si="4"/>
        <v>40</v>
      </c>
    </row>
    <row r="23" spans="1:14" x14ac:dyDescent="0.25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 t="str">
        <f t="shared" si="0"/>
        <v>Non-American</v>
      </c>
      <c r="J23" t="s">
        <v>5</v>
      </c>
      <c r="K23" s="6">
        <f>MIN(F2:F201)</f>
        <v>195.38569452000729</v>
      </c>
    </row>
    <row r="24" spans="1:14" x14ac:dyDescent="0.25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 t="str">
        <f t="shared" si="0"/>
        <v>American</v>
      </c>
      <c r="M24" t="s">
        <v>20</v>
      </c>
      <c r="N24" cm="1">
        <f t="array" ref="N24">_xlfn.UNIQUE(YEAR(B2:B201))</f>
        <v>2020</v>
      </c>
    </row>
    <row r="25" spans="1:14" x14ac:dyDescent="0.25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 t="str">
        <f t="shared" si="0"/>
        <v>American</v>
      </c>
      <c r="J25">
        <f>COUNTIF(G2:G201,"American")</f>
        <v>104</v>
      </c>
    </row>
    <row r="26" spans="1:14" x14ac:dyDescent="0.25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 t="str">
        <f t="shared" si="0"/>
        <v>Non-American</v>
      </c>
      <c r="J26">
        <f>COUNTIF(G3:G202,"Non-American")</f>
        <v>96</v>
      </c>
    </row>
    <row r="27" spans="1:14" x14ac:dyDescent="0.25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 t="str">
        <f t="shared" si="0"/>
        <v>Non-American</v>
      </c>
    </row>
    <row r="28" spans="1:14" x14ac:dyDescent="0.25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 t="str">
        <f t="shared" si="0"/>
        <v>Non-American</v>
      </c>
    </row>
    <row r="29" spans="1:14" x14ac:dyDescent="0.25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 t="str">
        <f t="shared" si="0"/>
        <v>American</v>
      </c>
    </row>
    <row r="30" spans="1:14" x14ac:dyDescent="0.25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 t="str">
        <f t="shared" si="0"/>
        <v>American</v>
      </c>
    </row>
    <row r="31" spans="1:14" x14ac:dyDescent="0.25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 t="str">
        <f t="shared" si="0"/>
        <v>Non-American</v>
      </c>
    </row>
    <row r="32" spans="1:14" x14ac:dyDescent="0.25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 t="str">
        <f t="shared" si="0"/>
        <v>Non-American</v>
      </c>
    </row>
    <row r="33" spans="1:7" x14ac:dyDescent="0.25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 t="str">
        <f t="shared" si="0"/>
        <v>Non-American</v>
      </c>
    </row>
    <row r="34" spans="1:7" x14ac:dyDescent="0.25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 t="str">
        <f t="shared" si="0"/>
        <v>American</v>
      </c>
    </row>
    <row r="35" spans="1:7" x14ac:dyDescent="0.25">
      <c r="A35" t="s">
        <v>8</v>
      </c>
      <c r="B35" s="2">
        <v>43864</v>
      </c>
      <c r="C35" s="4">
        <v>6038.4070635521457</v>
      </c>
      <c r="D35" s="4">
        <v>5416.0500462614255</v>
      </c>
      <c r="E35" t="s">
        <v>13</v>
      </c>
      <c r="F35" s="4">
        <v>527.68719058461284</v>
      </c>
      <c r="G35" t="str">
        <f t="shared" si="0"/>
        <v>American</v>
      </c>
    </row>
    <row r="36" spans="1:7" x14ac:dyDescent="0.25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 t="str">
        <f t="shared" si="0"/>
        <v>Non-American</v>
      </c>
    </row>
    <row r="37" spans="1:7" x14ac:dyDescent="0.25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 t="str">
        <f t="shared" si="0"/>
        <v>Non-American</v>
      </c>
    </row>
    <row r="38" spans="1:7" x14ac:dyDescent="0.25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 t="str">
        <f t="shared" si="0"/>
        <v>American</v>
      </c>
    </row>
    <row r="39" spans="1:7" x14ac:dyDescent="0.25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 t="str">
        <f t="shared" si="0"/>
        <v>American</v>
      </c>
    </row>
    <row r="40" spans="1:7" x14ac:dyDescent="0.25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 t="str">
        <f t="shared" si="0"/>
        <v>American</v>
      </c>
    </row>
    <row r="41" spans="1:7" x14ac:dyDescent="0.25">
      <c r="A41" t="s">
        <v>9</v>
      </c>
      <c r="B41" s="2">
        <v>43870</v>
      </c>
      <c r="C41" s="4">
        <v>9395.3944988493295</v>
      </c>
      <c r="D41" s="4">
        <v>5676.9080350302456</v>
      </c>
      <c r="E41" t="s">
        <v>13</v>
      </c>
      <c r="F41" s="4">
        <v>507.82601751616608</v>
      </c>
      <c r="G41" t="str">
        <f t="shared" si="0"/>
        <v>Non-American</v>
      </c>
    </row>
    <row r="42" spans="1:7" x14ac:dyDescent="0.25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 t="str">
        <f t="shared" si="0"/>
        <v>American</v>
      </c>
    </row>
    <row r="43" spans="1:7" x14ac:dyDescent="0.25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 t="str">
        <f t="shared" si="0"/>
        <v>Non-American</v>
      </c>
    </row>
    <row r="44" spans="1:7" x14ac:dyDescent="0.25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 t="str">
        <f t="shared" si="0"/>
        <v>Non-American</v>
      </c>
    </row>
    <row r="45" spans="1:7" x14ac:dyDescent="0.25">
      <c r="A45" t="s">
        <v>6</v>
      </c>
      <c r="B45" s="2">
        <v>43874</v>
      </c>
      <c r="C45" s="4">
        <v>13901.55079046358</v>
      </c>
      <c r="D45" s="4">
        <v>4702.2091205982724</v>
      </c>
      <c r="E45" t="s">
        <v>11</v>
      </c>
      <c r="F45" s="4">
        <v>519.42929380457713</v>
      </c>
      <c r="G45" t="str">
        <f t="shared" si="0"/>
        <v>American</v>
      </c>
    </row>
    <row r="46" spans="1:7" x14ac:dyDescent="0.25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 t="str">
        <f t="shared" si="0"/>
        <v>Non-American</v>
      </c>
    </row>
    <row r="47" spans="1:7" x14ac:dyDescent="0.25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 t="str">
        <f t="shared" si="0"/>
        <v>American</v>
      </c>
    </row>
    <row r="48" spans="1:7" x14ac:dyDescent="0.25">
      <c r="A48" t="s">
        <v>7</v>
      </c>
      <c r="B48" s="2">
        <v>43877</v>
      </c>
      <c r="C48" s="4">
        <v>7494.4092799001482</v>
      </c>
      <c r="D48" s="4">
        <v>6152.3315647831196</v>
      </c>
      <c r="E48" t="s">
        <v>11</v>
      </c>
      <c r="F48" s="4">
        <v>545.74156062209909</v>
      </c>
      <c r="G48" t="str">
        <f t="shared" si="0"/>
        <v>Non-American</v>
      </c>
    </row>
    <row r="49" spans="1:7" x14ac:dyDescent="0.25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 t="str">
        <f t="shared" si="0"/>
        <v>American</v>
      </c>
    </row>
    <row r="50" spans="1:7" x14ac:dyDescent="0.25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 t="str">
        <f t="shared" si="0"/>
        <v>Non-American</v>
      </c>
    </row>
    <row r="51" spans="1:7" x14ac:dyDescent="0.25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 t="str">
        <f t="shared" si="0"/>
        <v>Non-American</v>
      </c>
    </row>
    <row r="52" spans="1:7" x14ac:dyDescent="0.25">
      <c r="A52" t="s">
        <v>7</v>
      </c>
      <c r="B52" s="2">
        <v>43881</v>
      </c>
      <c r="C52" s="4">
        <v>8209.0668776126495</v>
      </c>
      <c r="D52" s="4">
        <v>5521.0648764527587</v>
      </c>
      <c r="E52" t="s">
        <v>12</v>
      </c>
      <c r="F52" s="4">
        <v>394.53715360149857</v>
      </c>
      <c r="G52" t="str">
        <f t="shared" si="0"/>
        <v>Non-American</v>
      </c>
    </row>
    <row r="53" spans="1:7" x14ac:dyDescent="0.25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 t="str">
        <f t="shared" si="0"/>
        <v>American</v>
      </c>
    </row>
    <row r="54" spans="1:7" x14ac:dyDescent="0.25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 t="str">
        <f t="shared" si="0"/>
        <v>American</v>
      </c>
    </row>
    <row r="55" spans="1:7" x14ac:dyDescent="0.25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 t="str">
        <f t="shared" si="0"/>
        <v>American</v>
      </c>
    </row>
    <row r="56" spans="1:7" x14ac:dyDescent="0.25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 t="str">
        <f t="shared" si="0"/>
        <v>Non-American</v>
      </c>
    </row>
    <row r="57" spans="1:7" x14ac:dyDescent="0.25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 t="str">
        <f t="shared" si="0"/>
        <v>American</v>
      </c>
    </row>
    <row r="58" spans="1:7" x14ac:dyDescent="0.25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 t="str">
        <f t="shared" si="0"/>
        <v>Non-American</v>
      </c>
    </row>
    <row r="59" spans="1:7" x14ac:dyDescent="0.25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 t="str">
        <f t="shared" si="0"/>
        <v>American</v>
      </c>
    </row>
    <row r="60" spans="1:7" x14ac:dyDescent="0.25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 t="str">
        <f t="shared" si="0"/>
        <v>American</v>
      </c>
    </row>
    <row r="61" spans="1:7" x14ac:dyDescent="0.25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 t="str">
        <f t="shared" si="0"/>
        <v>American</v>
      </c>
    </row>
    <row r="62" spans="1:7" x14ac:dyDescent="0.25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 t="str">
        <f t="shared" si="0"/>
        <v>Non-American</v>
      </c>
    </row>
    <row r="63" spans="1:7" x14ac:dyDescent="0.25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 t="str">
        <f t="shared" si="0"/>
        <v>American</v>
      </c>
    </row>
    <row r="64" spans="1:7" x14ac:dyDescent="0.25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 t="str">
        <f t="shared" si="0"/>
        <v>American</v>
      </c>
    </row>
    <row r="65" spans="1:7" x14ac:dyDescent="0.25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 t="str">
        <f t="shared" si="0"/>
        <v>Non-American</v>
      </c>
    </row>
    <row r="66" spans="1:7" x14ac:dyDescent="0.25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 t="str">
        <f t="shared" si="0"/>
        <v>Non-American</v>
      </c>
    </row>
    <row r="67" spans="1:7" x14ac:dyDescent="0.25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 t="str">
        <f t="shared" ref="G67:G130" si="5">IF(OR(A67="North America",A67="South America"),"American","Non-American")</f>
        <v>American</v>
      </c>
    </row>
    <row r="68" spans="1:7" x14ac:dyDescent="0.25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 t="str">
        <f t="shared" si="5"/>
        <v>Non-American</v>
      </c>
    </row>
    <row r="69" spans="1:7" x14ac:dyDescent="0.25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 t="str">
        <f t="shared" si="5"/>
        <v>Non-American</v>
      </c>
    </row>
    <row r="70" spans="1:7" x14ac:dyDescent="0.25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 t="str">
        <f t="shared" si="5"/>
        <v>American</v>
      </c>
    </row>
    <row r="71" spans="1:7" x14ac:dyDescent="0.25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 t="str">
        <f t="shared" si="5"/>
        <v>American</v>
      </c>
    </row>
    <row r="72" spans="1:7" x14ac:dyDescent="0.25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 t="str">
        <f t="shared" si="5"/>
        <v>American</v>
      </c>
    </row>
    <row r="73" spans="1:7" x14ac:dyDescent="0.25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 t="str">
        <f t="shared" si="5"/>
        <v>American</v>
      </c>
    </row>
    <row r="74" spans="1:7" x14ac:dyDescent="0.25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 t="str">
        <f t="shared" si="5"/>
        <v>American</v>
      </c>
    </row>
    <row r="75" spans="1:7" x14ac:dyDescent="0.25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 t="str">
        <f t="shared" si="5"/>
        <v>American</v>
      </c>
    </row>
    <row r="76" spans="1:7" x14ac:dyDescent="0.25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 t="str">
        <f t="shared" si="5"/>
        <v>American</v>
      </c>
    </row>
    <row r="77" spans="1:7" x14ac:dyDescent="0.25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 t="str">
        <f t="shared" si="5"/>
        <v>American</v>
      </c>
    </row>
    <row r="78" spans="1:7" x14ac:dyDescent="0.25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 t="str">
        <f t="shared" si="5"/>
        <v>American</v>
      </c>
    </row>
    <row r="79" spans="1:7" x14ac:dyDescent="0.25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 t="str">
        <f t="shared" si="5"/>
        <v>American</v>
      </c>
    </row>
    <row r="80" spans="1:7" x14ac:dyDescent="0.25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 t="str">
        <f t="shared" si="5"/>
        <v>American</v>
      </c>
    </row>
    <row r="81" spans="1:7" x14ac:dyDescent="0.25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 t="str">
        <f t="shared" si="5"/>
        <v>American</v>
      </c>
    </row>
    <row r="82" spans="1:7" x14ac:dyDescent="0.25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 t="str">
        <f t="shared" si="5"/>
        <v>American</v>
      </c>
    </row>
    <row r="83" spans="1:7" x14ac:dyDescent="0.25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 t="str">
        <f t="shared" si="5"/>
        <v>Non-American</v>
      </c>
    </row>
    <row r="84" spans="1:7" x14ac:dyDescent="0.25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 t="str">
        <f t="shared" si="5"/>
        <v>American</v>
      </c>
    </row>
    <row r="85" spans="1:7" x14ac:dyDescent="0.25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 t="str">
        <f t="shared" si="5"/>
        <v>American</v>
      </c>
    </row>
    <row r="86" spans="1:7" x14ac:dyDescent="0.25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 t="str">
        <f t="shared" si="5"/>
        <v>American</v>
      </c>
    </row>
    <row r="87" spans="1:7" x14ac:dyDescent="0.25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 t="str">
        <f t="shared" si="5"/>
        <v>Non-American</v>
      </c>
    </row>
    <row r="88" spans="1:7" x14ac:dyDescent="0.25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 t="str">
        <f t="shared" si="5"/>
        <v>American</v>
      </c>
    </row>
    <row r="89" spans="1:7" x14ac:dyDescent="0.25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 t="str">
        <f t="shared" si="5"/>
        <v>Non-American</v>
      </c>
    </row>
    <row r="90" spans="1:7" x14ac:dyDescent="0.25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 t="str">
        <f t="shared" si="5"/>
        <v>Non-American</v>
      </c>
    </row>
    <row r="91" spans="1:7" x14ac:dyDescent="0.25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 t="str">
        <f t="shared" si="5"/>
        <v>American</v>
      </c>
    </row>
    <row r="92" spans="1:7" x14ac:dyDescent="0.25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 t="str">
        <f t="shared" si="5"/>
        <v>Non-American</v>
      </c>
    </row>
    <row r="93" spans="1:7" x14ac:dyDescent="0.25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 t="str">
        <f t="shared" si="5"/>
        <v>American</v>
      </c>
    </row>
    <row r="94" spans="1:7" x14ac:dyDescent="0.25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 t="str">
        <f t="shared" si="5"/>
        <v>Non-American</v>
      </c>
    </row>
    <row r="95" spans="1:7" x14ac:dyDescent="0.25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 t="str">
        <f t="shared" si="5"/>
        <v>American</v>
      </c>
    </row>
    <row r="96" spans="1:7" x14ac:dyDescent="0.25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 t="str">
        <f t="shared" si="5"/>
        <v>Non-American</v>
      </c>
    </row>
    <row r="97" spans="1:7" x14ac:dyDescent="0.25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 t="str">
        <f t="shared" si="5"/>
        <v>American</v>
      </c>
    </row>
    <row r="98" spans="1:7" x14ac:dyDescent="0.25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 t="str">
        <f t="shared" si="5"/>
        <v>Non-American</v>
      </c>
    </row>
    <row r="99" spans="1:7" x14ac:dyDescent="0.25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 t="str">
        <f t="shared" si="5"/>
        <v>American</v>
      </c>
    </row>
    <row r="100" spans="1:7" x14ac:dyDescent="0.25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 t="str">
        <f t="shared" si="5"/>
        <v>Non-American</v>
      </c>
    </row>
    <row r="101" spans="1:7" x14ac:dyDescent="0.25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 t="str">
        <f t="shared" si="5"/>
        <v>American</v>
      </c>
    </row>
    <row r="102" spans="1:7" x14ac:dyDescent="0.25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 t="str">
        <f t="shared" si="5"/>
        <v>American</v>
      </c>
    </row>
    <row r="103" spans="1:7" x14ac:dyDescent="0.25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 t="str">
        <f t="shared" si="5"/>
        <v>Non-American</v>
      </c>
    </row>
    <row r="104" spans="1:7" x14ac:dyDescent="0.25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 t="str">
        <f t="shared" si="5"/>
        <v>American</v>
      </c>
    </row>
    <row r="105" spans="1:7" x14ac:dyDescent="0.25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 t="str">
        <f t="shared" si="5"/>
        <v>American</v>
      </c>
    </row>
    <row r="106" spans="1:7" x14ac:dyDescent="0.25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 t="str">
        <f t="shared" si="5"/>
        <v>Non-American</v>
      </c>
    </row>
    <row r="107" spans="1:7" x14ac:dyDescent="0.25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 t="str">
        <f t="shared" si="5"/>
        <v>Non-American</v>
      </c>
    </row>
    <row r="108" spans="1:7" x14ac:dyDescent="0.25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 t="str">
        <f t="shared" si="5"/>
        <v>Non-American</v>
      </c>
    </row>
    <row r="109" spans="1:7" x14ac:dyDescent="0.25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 t="str">
        <f t="shared" si="5"/>
        <v>Non-American</v>
      </c>
    </row>
    <row r="110" spans="1:7" x14ac:dyDescent="0.25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 t="str">
        <f t="shared" si="5"/>
        <v>Non-American</v>
      </c>
    </row>
    <row r="111" spans="1:7" x14ac:dyDescent="0.25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 t="str">
        <f t="shared" si="5"/>
        <v>American</v>
      </c>
    </row>
    <row r="112" spans="1:7" x14ac:dyDescent="0.25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 t="str">
        <f t="shared" si="5"/>
        <v>American</v>
      </c>
    </row>
    <row r="113" spans="1:7" x14ac:dyDescent="0.25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 t="str">
        <f t="shared" si="5"/>
        <v>American</v>
      </c>
    </row>
    <row r="114" spans="1:7" x14ac:dyDescent="0.25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 t="str">
        <f t="shared" si="5"/>
        <v>Non-American</v>
      </c>
    </row>
    <row r="115" spans="1:7" x14ac:dyDescent="0.25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 t="str">
        <f t="shared" si="5"/>
        <v>Non-American</v>
      </c>
    </row>
    <row r="116" spans="1:7" x14ac:dyDescent="0.25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 t="str">
        <f t="shared" si="5"/>
        <v>Non-American</v>
      </c>
    </row>
    <row r="117" spans="1:7" x14ac:dyDescent="0.25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 t="str">
        <f t="shared" si="5"/>
        <v>Non-American</v>
      </c>
    </row>
    <row r="118" spans="1:7" x14ac:dyDescent="0.25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 t="str">
        <f t="shared" si="5"/>
        <v>Non-American</v>
      </c>
    </row>
    <row r="119" spans="1:7" x14ac:dyDescent="0.25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 t="str">
        <f t="shared" si="5"/>
        <v>American</v>
      </c>
    </row>
    <row r="120" spans="1:7" x14ac:dyDescent="0.25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 t="str">
        <f t="shared" si="5"/>
        <v>Non-American</v>
      </c>
    </row>
    <row r="121" spans="1:7" x14ac:dyDescent="0.25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 t="str">
        <f t="shared" si="5"/>
        <v>American</v>
      </c>
    </row>
    <row r="122" spans="1:7" x14ac:dyDescent="0.25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 t="str">
        <f t="shared" si="5"/>
        <v>Non-American</v>
      </c>
    </row>
    <row r="123" spans="1:7" x14ac:dyDescent="0.25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 t="str">
        <f t="shared" si="5"/>
        <v>American</v>
      </c>
    </row>
    <row r="124" spans="1:7" x14ac:dyDescent="0.25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 t="str">
        <f t="shared" si="5"/>
        <v>American</v>
      </c>
    </row>
    <row r="125" spans="1:7" x14ac:dyDescent="0.25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 t="str">
        <f t="shared" si="5"/>
        <v>American</v>
      </c>
    </row>
    <row r="126" spans="1:7" x14ac:dyDescent="0.25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 t="str">
        <f t="shared" si="5"/>
        <v>American</v>
      </c>
    </row>
    <row r="127" spans="1:7" x14ac:dyDescent="0.25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 t="str">
        <f t="shared" si="5"/>
        <v>Non-American</v>
      </c>
    </row>
    <row r="128" spans="1:7" x14ac:dyDescent="0.25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 t="str">
        <f t="shared" si="5"/>
        <v>American</v>
      </c>
    </row>
    <row r="129" spans="1:7" x14ac:dyDescent="0.25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 t="str">
        <f t="shared" si="5"/>
        <v>Non-American</v>
      </c>
    </row>
    <row r="130" spans="1:7" x14ac:dyDescent="0.25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 t="str">
        <f t="shared" si="5"/>
        <v>Non-American</v>
      </c>
    </row>
    <row r="131" spans="1:7" x14ac:dyDescent="0.25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 t="str">
        <f t="shared" ref="G131:G194" si="6">IF(OR(A131="North America",A131="South America"),"American","Non-American")</f>
        <v>American</v>
      </c>
    </row>
    <row r="132" spans="1:7" x14ac:dyDescent="0.25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 t="str">
        <f t="shared" si="6"/>
        <v>Non-American</v>
      </c>
    </row>
    <row r="133" spans="1:7" x14ac:dyDescent="0.25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 t="str">
        <f t="shared" si="6"/>
        <v>American</v>
      </c>
    </row>
    <row r="134" spans="1:7" x14ac:dyDescent="0.25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 t="str">
        <f t="shared" si="6"/>
        <v>American</v>
      </c>
    </row>
    <row r="135" spans="1:7" x14ac:dyDescent="0.25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 t="str">
        <f t="shared" si="6"/>
        <v>Non-American</v>
      </c>
    </row>
    <row r="136" spans="1:7" x14ac:dyDescent="0.25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 t="str">
        <f t="shared" si="6"/>
        <v>Non-American</v>
      </c>
    </row>
    <row r="137" spans="1:7" x14ac:dyDescent="0.25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 t="str">
        <f t="shared" si="6"/>
        <v>American</v>
      </c>
    </row>
    <row r="138" spans="1:7" x14ac:dyDescent="0.25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 t="str">
        <f t="shared" si="6"/>
        <v>American</v>
      </c>
    </row>
    <row r="139" spans="1:7" x14ac:dyDescent="0.25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 t="str">
        <f t="shared" si="6"/>
        <v>American</v>
      </c>
    </row>
    <row r="140" spans="1:7" x14ac:dyDescent="0.25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 t="str">
        <f t="shared" si="6"/>
        <v>Non-American</v>
      </c>
    </row>
    <row r="141" spans="1:7" x14ac:dyDescent="0.25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 t="str">
        <f t="shared" si="6"/>
        <v>American</v>
      </c>
    </row>
    <row r="142" spans="1:7" x14ac:dyDescent="0.25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 t="str">
        <f t="shared" si="6"/>
        <v>Non-American</v>
      </c>
    </row>
    <row r="143" spans="1:7" x14ac:dyDescent="0.25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 t="str">
        <f t="shared" si="6"/>
        <v>American</v>
      </c>
    </row>
    <row r="144" spans="1:7" x14ac:dyDescent="0.25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 t="str">
        <f t="shared" si="6"/>
        <v>American</v>
      </c>
    </row>
    <row r="145" spans="1:7" x14ac:dyDescent="0.25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 t="str">
        <f t="shared" si="6"/>
        <v>Non-American</v>
      </c>
    </row>
    <row r="146" spans="1:7" x14ac:dyDescent="0.25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 t="str">
        <f t="shared" si="6"/>
        <v>Non-American</v>
      </c>
    </row>
    <row r="147" spans="1:7" x14ac:dyDescent="0.25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 t="str">
        <f t="shared" si="6"/>
        <v>American</v>
      </c>
    </row>
    <row r="148" spans="1:7" x14ac:dyDescent="0.25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 t="str">
        <f t="shared" si="6"/>
        <v>Non-American</v>
      </c>
    </row>
    <row r="149" spans="1:7" x14ac:dyDescent="0.25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 t="str">
        <f t="shared" si="6"/>
        <v>American</v>
      </c>
    </row>
    <row r="150" spans="1:7" x14ac:dyDescent="0.25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 t="str">
        <f t="shared" si="6"/>
        <v>American</v>
      </c>
    </row>
    <row r="151" spans="1:7" x14ac:dyDescent="0.25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 t="str">
        <f t="shared" si="6"/>
        <v>American</v>
      </c>
    </row>
    <row r="152" spans="1:7" x14ac:dyDescent="0.25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 t="str">
        <f t="shared" si="6"/>
        <v>Non-American</v>
      </c>
    </row>
    <row r="153" spans="1:7" x14ac:dyDescent="0.25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 t="str">
        <f t="shared" si="6"/>
        <v>American</v>
      </c>
    </row>
    <row r="154" spans="1:7" x14ac:dyDescent="0.25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 t="str">
        <f t="shared" si="6"/>
        <v>Non-American</v>
      </c>
    </row>
    <row r="155" spans="1:7" x14ac:dyDescent="0.25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 t="str">
        <f t="shared" si="6"/>
        <v>Non-American</v>
      </c>
    </row>
    <row r="156" spans="1:7" x14ac:dyDescent="0.25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 t="str">
        <f t="shared" si="6"/>
        <v>Non-American</v>
      </c>
    </row>
    <row r="157" spans="1:7" x14ac:dyDescent="0.25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 t="str">
        <f t="shared" si="6"/>
        <v>Non-American</v>
      </c>
    </row>
    <row r="158" spans="1:7" x14ac:dyDescent="0.25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 t="str">
        <f t="shared" si="6"/>
        <v>Non-American</v>
      </c>
    </row>
    <row r="159" spans="1:7" x14ac:dyDescent="0.25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 t="str">
        <f t="shared" si="6"/>
        <v>Non-American</v>
      </c>
    </row>
    <row r="160" spans="1:7" x14ac:dyDescent="0.25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 t="str">
        <f t="shared" si="6"/>
        <v>Non-American</v>
      </c>
    </row>
    <row r="161" spans="1:7" x14ac:dyDescent="0.25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 t="str">
        <f t="shared" si="6"/>
        <v>American</v>
      </c>
    </row>
    <row r="162" spans="1:7" x14ac:dyDescent="0.25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 t="str">
        <f t="shared" si="6"/>
        <v>Non-American</v>
      </c>
    </row>
    <row r="163" spans="1:7" x14ac:dyDescent="0.25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 t="str">
        <f t="shared" si="6"/>
        <v>American</v>
      </c>
    </row>
    <row r="164" spans="1:7" x14ac:dyDescent="0.25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 t="str">
        <f t="shared" si="6"/>
        <v>American</v>
      </c>
    </row>
    <row r="165" spans="1:7" x14ac:dyDescent="0.25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 t="str">
        <f t="shared" si="6"/>
        <v>American</v>
      </c>
    </row>
    <row r="166" spans="1:7" x14ac:dyDescent="0.25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 t="str">
        <f t="shared" si="6"/>
        <v>Non-American</v>
      </c>
    </row>
    <row r="167" spans="1:7" x14ac:dyDescent="0.25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 t="str">
        <f t="shared" si="6"/>
        <v>American</v>
      </c>
    </row>
    <row r="168" spans="1:7" x14ac:dyDescent="0.25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 t="str">
        <f t="shared" si="6"/>
        <v>Non-American</v>
      </c>
    </row>
    <row r="169" spans="1:7" x14ac:dyDescent="0.25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 t="str">
        <f t="shared" si="6"/>
        <v>Non-American</v>
      </c>
    </row>
    <row r="170" spans="1:7" x14ac:dyDescent="0.25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 t="str">
        <f t="shared" si="6"/>
        <v>American</v>
      </c>
    </row>
    <row r="171" spans="1:7" x14ac:dyDescent="0.25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 t="str">
        <f t="shared" si="6"/>
        <v>Non-American</v>
      </c>
    </row>
    <row r="172" spans="1:7" x14ac:dyDescent="0.25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 t="str">
        <f t="shared" si="6"/>
        <v>Non-American</v>
      </c>
    </row>
    <row r="173" spans="1:7" x14ac:dyDescent="0.25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 t="str">
        <f t="shared" si="6"/>
        <v>American</v>
      </c>
    </row>
    <row r="174" spans="1:7" x14ac:dyDescent="0.25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 t="str">
        <f t="shared" si="6"/>
        <v>American</v>
      </c>
    </row>
    <row r="175" spans="1:7" x14ac:dyDescent="0.25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 t="str">
        <f t="shared" si="6"/>
        <v>Non-American</v>
      </c>
    </row>
    <row r="176" spans="1:7" x14ac:dyDescent="0.25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 t="str">
        <f t="shared" si="6"/>
        <v>American</v>
      </c>
    </row>
    <row r="177" spans="1:7" x14ac:dyDescent="0.25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 t="str">
        <f t="shared" si="6"/>
        <v>Non-American</v>
      </c>
    </row>
    <row r="178" spans="1:7" x14ac:dyDescent="0.25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 t="str">
        <f t="shared" si="6"/>
        <v>American</v>
      </c>
    </row>
    <row r="179" spans="1:7" x14ac:dyDescent="0.25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 t="str">
        <f t="shared" si="6"/>
        <v>Non-American</v>
      </c>
    </row>
    <row r="180" spans="1:7" x14ac:dyDescent="0.25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 t="str">
        <f t="shared" si="6"/>
        <v>Non-American</v>
      </c>
    </row>
    <row r="181" spans="1:7" x14ac:dyDescent="0.25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 t="str">
        <f t="shared" si="6"/>
        <v>Non-American</v>
      </c>
    </row>
    <row r="182" spans="1:7" x14ac:dyDescent="0.25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 t="str">
        <f t="shared" si="6"/>
        <v>Non-American</v>
      </c>
    </row>
    <row r="183" spans="1:7" x14ac:dyDescent="0.25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 t="str">
        <f t="shared" si="6"/>
        <v>American</v>
      </c>
    </row>
    <row r="184" spans="1:7" x14ac:dyDescent="0.25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 t="str">
        <f t="shared" si="6"/>
        <v>American</v>
      </c>
    </row>
    <row r="185" spans="1:7" x14ac:dyDescent="0.25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 t="str">
        <f t="shared" si="6"/>
        <v>Non-American</v>
      </c>
    </row>
    <row r="186" spans="1:7" x14ac:dyDescent="0.25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 t="str">
        <f t="shared" si="6"/>
        <v>American</v>
      </c>
    </row>
    <row r="187" spans="1:7" x14ac:dyDescent="0.25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 t="str">
        <f t="shared" si="6"/>
        <v>Non-American</v>
      </c>
    </row>
    <row r="188" spans="1:7" x14ac:dyDescent="0.25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 t="str">
        <f t="shared" si="6"/>
        <v>American</v>
      </c>
    </row>
    <row r="189" spans="1:7" x14ac:dyDescent="0.25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 t="str">
        <f t="shared" si="6"/>
        <v>Non-American</v>
      </c>
    </row>
    <row r="190" spans="1:7" x14ac:dyDescent="0.25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 t="str">
        <f t="shared" si="6"/>
        <v>Non-American</v>
      </c>
    </row>
    <row r="191" spans="1:7" x14ac:dyDescent="0.25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 t="str">
        <f t="shared" si="6"/>
        <v>American</v>
      </c>
    </row>
    <row r="192" spans="1:7" x14ac:dyDescent="0.25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 t="str">
        <f t="shared" si="6"/>
        <v>Non-American</v>
      </c>
    </row>
    <row r="193" spans="1:7" x14ac:dyDescent="0.25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 t="str">
        <f t="shared" si="6"/>
        <v>American</v>
      </c>
    </row>
    <row r="194" spans="1:7" x14ac:dyDescent="0.25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 t="str">
        <f t="shared" si="6"/>
        <v>Non-American</v>
      </c>
    </row>
    <row r="195" spans="1:7" x14ac:dyDescent="0.25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 t="str">
        <f t="shared" ref="G195:G201" si="7">IF(OR(A195="North America",A195="South America"),"American","Non-American")</f>
        <v>Non-American</v>
      </c>
    </row>
    <row r="196" spans="1:7" x14ac:dyDescent="0.25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 t="str">
        <f t="shared" si="7"/>
        <v>American</v>
      </c>
    </row>
    <row r="197" spans="1:7" x14ac:dyDescent="0.25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 t="str">
        <f t="shared" si="7"/>
        <v>Non-American</v>
      </c>
    </row>
    <row r="198" spans="1:7" x14ac:dyDescent="0.25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 t="str">
        <f t="shared" si="7"/>
        <v>Non-American</v>
      </c>
    </row>
    <row r="199" spans="1:7" x14ac:dyDescent="0.25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 t="str">
        <f t="shared" si="7"/>
        <v>American</v>
      </c>
    </row>
    <row r="200" spans="1:7" x14ac:dyDescent="0.25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 t="str">
        <f t="shared" si="7"/>
        <v>American</v>
      </c>
    </row>
    <row r="201" spans="1:7" x14ac:dyDescent="0.25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 t="str">
        <f t="shared" si="7"/>
        <v>Non-American</v>
      </c>
    </row>
    <row r="202" spans="1:7" x14ac:dyDescent="0.25">
      <c r="B202" s="7"/>
      <c r="F202" s="4">
        <f>SUM(F2:F201)</f>
        <v>97845.048042711525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2024-02-26T14:04:16Z</dcterms:created>
  <dcterms:modified xsi:type="dcterms:W3CDTF">2026-08-07T05:57:45Z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