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b701ecdb1d4a6e" /></Relationships>
</file>

<file path=xl/workbook.xml><?xml version="1.0" encoding="utf-8"?>
<x:workbook xmlns:x="http://schemas.openxmlformats.org/spreadsheetml/2006/main">
  <x:sheets>
    <x:sheet xmlns:r="http://schemas.openxmlformats.org/officeDocument/2006/relationships" name="README" sheetId="1" r:id="Refa6e7fb269a4e12"/>
    <x:sheet xmlns:r="http://schemas.openxmlformats.org/officeDocument/2006/relationships" name="Social_Media_Posts" sheetId="2" r:id="Rf7470d34773b4cab"/>
    <x:sheet xmlns:r="http://schemas.openxmlformats.org/officeDocument/2006/relationships" name="Data_Dictionary" sheetId="3" r:id="R029ac3052e054467"/>
    <x:sheet xmlns:r="http://schemas.openxmlformats.org/officeDocument/2006/relationships" name="Analysis_Prompts" sheetId="4" r:id="R5e4dc320bad14829"/>
    <x:sheet xmlns:r="http://schemas.openxmlformats.org/officeDocument/2006/relationships" name="Resources" sheetId="5" r:id="Rdbc4b45ddc764c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
    <x:numFmt numFmtId="201" formatCode="0.00"/>
    <x:numFmt numFmtId="202" formatCode="#,##0"/>
    <x:numFmt numFmtId="203" formatCode="0.00%"/>
  </x:numFmts>
  <x:fonts count="4">
    <x:font>
      <x:sz val="11"/>
      <x:name val="Carlito"/>
    </x:font>
    <x:font>
      <x:b/>
      <x:sz val="18"/>
      <x:color rgb="FFFFFFFF"/>
      <x:name val="Carlito"/>
    </x:font>
    <x:font>
      <x:b/>
      <x:sz val="11"/>
      <x:color rgb="FF1F4E78"/>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cellXfs>
  <x:cellStyles count="1">
    <x:cellStyle name="Normal" xfId="0"/>
  </x:cellStyles>
  <x:dxfs count="1">
    <x:dxf>
      <x:fill>
        <x:patternFill patternType="solid">
          <x:bgColor rgb="FFFDE68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0b79993a924582" /><Relationship Type="http://schemas.openxmlformats.org/officeDocument/2006/relationships/theme" Target="/xl/theme/theme1.xml" Id="R6d355e7dfbbd45c0" /><Relationship Type="http://schemas.openxmlformats.org/officeDocument/2006/relationships/sharedStrings" Target="/xl/sharedStrings.xml" Id="Rc0a2d4c922a44c69" /><Relationship Type="http://schemas.openxmlformats.org/officeDocument/2006/relationships/worksheet" Target="/xl/worksheets/sheet1.xml" Id="Refa6e7fb269a4e12" /><Relationship Type="http://schemas.openxmlformats.org/officeDocument/2006/relationships/worksheet" Target="/xl/worksheets/sheet2.xml" Id="Rf7470d34773b4cab" /><Relationship Type="http://schemas.openxmlformats.org/officeDocument/2006/relationships/worksheet" Target="/xl/worksheets/sheet3.xml" Id="R029ac3052e054467" /><Relationship Type="http://schemas.openxmlformats.org/officeDocument/2006/relationships/worksheet" Target="/xl/worksheets/sheet4.xml" Id="R5e4dc320bad14829" /><Relationship Type="http://schemas.openxmlformats.org/officeDocument/2006/relationships/worksheet" Target="/xl/worksheets/sheet5.xml" Id="Rdbc4b45ddc764c1b" /></Relationships>
</file>

<file path=xl/tables/table1.xml><?xml version="1.0" encoding="utf-8"?>
<x:table xmlns:x="http://schemas.openxmlformats.org/spreadsheetml/2006/main" id="1" name="SocialMediaPosts" displayName="SocialMediaPosts" ref="A1:X61" headerRowCount="1">
  <x:tableColumns count="24">
    <x:tableColumn id="1" name="post_id"/>
    <x:tableColumn id="2" name="post_datetime"/>
    <x:tableColumn id="3" name="post_type"/>
    <x:tableColumn id="4" name="author_type"/>
    <x:tableColumn id="5" name="author_follower_bucket"/>
    <x:tableColumn id="6" name="post_text"/>
    <x:tableColumn id="7" name="topic"/>
    <x:tableColumn id="8" name="content_format"/>
    <x:tableColumn id="9" name="hashtags"/>
    <x:tableColumn id="10" name="mentions_commbank"/>
    <x:tableColumn id="11" name="sentiment_label"/>
    <x:tableColumn id="12" name="sentiment_score"/>
    <x:tableColumn id="13" name="likes"/>
    <x:tableColumn id="14" name="replies"/>
    <x:tableColumn id="15" name="reposts"/>
    <x:tableColumn id="16" name="quote_posts"/>
    <x:tableColumn id="17" name="views"/>
    <x:tableColumn id="18" name="link_clicks"/>
    <x:tableColumn id="19" name="total_engagements"/>
    <x:tableColumn id="20" name="engagement_rate"/>
    <x:tableColumn id="21" name="day_of_week"/>
    <x:tableColumn id="22" name="customer_intent"/>
    <x:tableColumn id="23" name="response_needed"/>
    <x:tableColumn id="24" name="api_field_examples"/>
  </x:tableColumns>
  <x:tableStyleInfo name="TableStyleMedium2" showRowStripes="1"/>
</x:table>
</file>

<file path=xl/tables/table2.xml><?xml version="1.0" encoding="utf-8"?>
<x:table xmlns:x="http://schemas.openxmlformats.org/spreadsheetml/2006/main" id="2" name="DataDictionary" displayName="DataDictionary" ref="A1:D25" headerRowCount="1">
  <x:tableColumns count="4">
    <x:tableColumn id="1" name="Column"/>
    <x:tableColumn id="2" name="Description"/>
    <x:tableColumn id="3" name="Student use"/>
    <x:tableColumn id="4" name="X/Twitter API or analytics concept"/>
  </x:tableColumns>
  <x:tableStyleInfo name="TableStyleMedium2" showRowStripes="1"/>
</x:table>
</file>

<file path=xl/tables/table3.xml><?xml version="1.0" encoding="utf-8"?>
<x:table xmlns:x="http://schemas.openxmlformats.org/spreadsheetml/2006/main" id="3" name="AnalysisPrompts" displayName="AnalysisPrompts" ref="A1:C9" headerRowCount="1">
  <x:tableColumns count="3">
    <x:tableColumn id="1" name="Analysis area"/>
    <x:tableColumn id="2" name="Question learners can answer with the dataset"/>
    <x:tableColumn id="3" name="Relevant columns"/>
  </x:tableColumns>
  <x:tableStyleInfo name="TableStyleMedium2" showRowStripes="1"/>
</x:table>
</file>

<file path=xl/tables/table4.xml><?xml version="1.0" encoding="utf-8"?>
<x:table xmlns:x="http://schemas.openxmlformats.org/spreadsheetml/2006/main" id="4" name="ResourcesTable" displayName="ResourcesTable" ref="A1:C4" headerRowCount="1">
  <x:tableColumns count="3">
    <x:tableColumn id="1" name="Resource"/>
    <x:tableColumn id="2" name="Use in task"/>
    <x:tableColumn id="3"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ae538be4124b92" /></Relationships>
</file>

<file path=xl/worksheets/_rels/sheet3.xml.rels>&#65279;<?xml version="1.0" encoding="utf-8"?><Relationships xmlns="http://schemas.openxmlformats.org/package/2006/relationships"><Relationship Type="http://schemas.openxmlformats.org/officeDocument/2006/relationships/table" Target="/xl/tables/table2.xml" Id="R617241b313d94d2a" /></Relationships>
</file>

<file path=xl/worksheets/_rels/sheet4.xml.rels>&#65279;<?xml version="1.0" encoding="utf-8"?><Relationships xmlns="http://schemas.openxmlformats.org/package/2006/relationships"><Relationship Type="http://schemas.openxmlformats.org/officeDocument/2006/relationships/table" Target="/xl/tables/table3.xml" Id="R0b05709153d34b56" /></Relationships>
</file>

<file path=xl/worksheets/_rels/sheet5.xml.rels>&#65279;<?xml version="1.0" encoding="utf-8"?><Relationships xmlns="http://schemas.openxmlformats.org/package/2006/relationships"><Relationship Type="http://schemas.openxmlformats.org/officeDocument/2006/relationships/table" Target="/xl/tables/table4.xml" Id="Rd5dc0959a0924f66" /></Relationships>
</file>

<file path=xl/worksheets/sheet1.xml><?xml version="1.0" encoding="utf-8"?>
<x:worksheet xmlns:x="http://schemas.openxmlformats.org/spreadsheetml/2006/main">
  <x:sheetFormatPr defaultRowHeight="15"/>
  <x:cols>
    <x:col min="1" max="1" width="110" hidden="0" customWidth="1"/>
  </x:cols>
  <x:sheetData>
    <x:row r="1" ht="30" customHeight="1">
      <x:c r="A1" s="5" t="str">
        <x:v>Commonwealth Bank Social Media Dataset</x:v>
      </x:c>
    </x:row>
    <x:row r="2">
      <x:c r="A2" s="11" t="str">
        <x:v>Purpose</x:v>
      </x:c>
    </x:row>
    <x:row r="3">
      <x:c r="A3" s="14" t="str">
        <x:v>This simulated dataset supports Task 3 of the Commonwealth Bank data science program. It mirrors the type of social media content and engagement information learners could analyze without requiring access to a live X/Twitter account.</x:v>
      </x:c>
    </x:row>
    <x:row r="4">
      <x:c r="A4" s="15" t="str">
        <x:v>Important note</x:v>
      </x:c>
    </x:row>
    <x:row r="5">
      <x:c r="A5" s="14" t="str">
        <x:v>All posts and metrics in this workbook are fictional and created for educational use. They should not be treated as real Commonwealth Bank posts, real customer comments, or real performance data.</x:v>
      </x:c>
    </x:row>
    <x:row r="6">
      <x:c r="A6" s="15" t="str">
        <x:v>How learners can use it</x:v>
      </x:c>
    </x:row>
    <x:row r="7">
      <x:c r="A7" s="14" t="str">
        <x:v>Use the Social_Media_Posts sheet to explore sentiment, engagement, customer pain points, recurring topics, and trends over time. The Data_Dictionary sheet explains each column and how it connects to social media/API concepts.</x:v>
      </x:c>
    </x:row>
    <x:row r="8">
      <x:c r="A8" s="15" t="str">
        <x:v>Suggested analyses</x:v>
      </x:c>
    </x:row>
    <x:row r="9">
      <x:c r="A9" s="14" t="str">
        <x:v>1. Identify the topics that appear most often. 2. Compare engagement across topics, formats, and post types. 3. Review positive, negative, neutral, and mixed sentiment. 4. Find posts with high views but low engagement. 5. Summarize customer questions, complaints, praise, and feature feedback.</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55" hidden="0" customWidth="1"/>
    <x:col min="7" max="7" width="20" hidden="0" customWidth="1"/>
    <x:col min="8" max="8" width="20" hidden="0" customWidth="1"/>
    <x:col min="9" max="9" width="28" hidden="0" customWidth="1"/>
    <x:col min="10" max="10" width="17" hidden="0" customWidth="1"/>
    <x:col min="11" max="11" width="17"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8" hidden="0" customWidth="1"/>
    <x:col min="23" max="23" width="18" hidden="0" customWidth="1"/>
    <x:col min="24" max="24" width="38" hidden="0" customWidth="1"/>
  </x:cols>
  <x:sheetData>
    <x:row r="1">
      <x:c r="A1" s="21" t="str">
        <x:v>post_id</x:v>
      </x:c>
      <x:c r="B1" s="21" t="str">
        <x:v>post_datetime</x:v>
      </x:c>
      <x:c r="C1" s="21" t="str">
        <x:v>post_type</x:v>
      </x:c>
      <x:c r="D1" s="21" t="str">
        <x:v>author_type</x:v>
      </x:c>
      <x:c r="E1" s="21" t="str">
        <x:v>author_follower_bucket</x:v>
      </x:c>
      <x:c r="F1" s="21" t="str">
        <x:v>post_text</x:v>
      </x:c>
      <x:c r="G1" s="21" t="str">
        <x:v>topic</x:v>
      </x:c>
      <x:c r="H1" s="21" t="str">
        <x:v>content_format</x:v>
      </x:c>
      <x:c r="I1" s="21" t="str">
        <x:v>hashtags</x:v>
      </x:c>
      <x:c r="J1" s="21" t="str">
        <x:v>mentions_commbank</x:v>
      </x:c>
      <x:c r="K1" s="21" t="str">
        <x:v>sentiment_label</x:v>
      </x:c>
      <x:c r="L1" s="21" t="str">
        <x:v>sentiment_score</x:v>
      </x:c>
      <x:c r="M1" s="21" t="str">
        <x:v>likes</x:v>
      </x:c>
      <x:c r="N1" s="21" t="str">
        <x:v>replies</x:v>
      </x:c>
      <x:c r="O1" s="21" t="str">
        <x:v>reposts</x:v>
      </x:c>
      <x:c r="P1" s="21" t="str">
        <x:v>quote_posts</x:v>
      </x:c>
      <x:c r="Q1" s="21" t="str">
        <x:v>views</x:v>
      </x:c>
      <x:c r="R1" s="21" t="str">
        <x:v>link_clicks</x:v>
      </x:c>
      <x:c r="S1" s="21" t="str">
        <x:v>total_engagements</x:v>
      </x:c>
      <x:c r="T1" s="21" t="str">
        <x:v>engagement_rate</x:v>
      </x:c>
      <x:c r="U1" s="21" t="str">
        <x:v>day_of_week</x:v>
      </x:c>
      <x:c r="V1" s="21" t="str">
        <x:v>customer_intent</x:v>
      </x:c>
      <x:c r="W1" s="21" t="str">
        <x:v>response_needed</x:v>
      </x:c>
      <x:c r="X1" s="21" t="str">
        <x:v>api_field_examples</x:v>
      </x:c>
    </x:row>
    <x:row r="2">
      <x:c r="A2" s="14" t="str">
        <x:v>SM001</x:v>
      </x:c>
      <x:c r="B2" s="34" t="n">
        <x:v>46127.37847222222</x:v>
      </x:c>
      <x:c r="C2" s="14" t="str">
        <x:v>Original post</x:v>
      </x:c>
      <x:c r="D2" s="14" t="str">
        <x:v>CommBank</x:v>
      </x:c>
      <x:c r="E2" s="14" t="str">
        <x:v>50k+</x:v>
      </x:c>
      <x:c r="F2" s="14" t="str">
        <x:v>Scam alert: We will never ask for your NetBank password or one-time code by text message. If a message feels suspicious, stop and check before clicking.</x:v>
      </x:c>
      <x:c r="G2" s="14" t="str">
        <x:v>Fraud &amp; scams</x:v>
      </x:c>
      <x:c r="H2" s="14" t="str">
        <x:v>Text + image</x:v>
      </x:c>
      <x:c r="I2" s="14" t="str">
        <x:v>#ScamAwareness #CyberSafety</x:v>
      </x:c>
      <x:c r="J2" s="14" t="str">
        <x:v>No</x:v>
      </x:c>
      <x:c r="K2" s="14" t="str">
        <x:v>Neutral</x:v>
      </x:c>
      <x:c r="L2" s="35" t="n">
        <x:v>0.1</x:v>
      </x:c>
      <x:c r="M2" s="36" t="n">
        <x:v>842</x:v>
      </x:c>
      <x:c r="N2" s="36" t="n">
        <x:v>96</x:v>
      </x:c>
      <x:c r="O2" s="36" t="n">
        <x:v>310</x:v>
      </x:c>
      <x:c r="P2" s="36" t="n">
        <x:v>28</x:v>
      </x:c>
      <x:c r="Q2" s="36" t="n">
        <x:v>118000</x:v>
      </x:c>
      <x:c r="R2" s="36" t="n">
        <x:v>4200</x:v>
      </x:c>
      <x:c r="S2" s="36" t="n">
        <x:f>SUM(M2:P2)+R2</x:f>
        <x:v>5476</x:v>
      </x:c>
      <x:c r="T2" s="37" t="n">
        <x:f>IFERROR(S2/Q2,0)</x:f>
        <x:v>0.04640677966101695</x:v>
      </x:c>
      <x:c r="U2" s="14" t="str">
        <x:f>TEXT(B2,"dddd")</x:f>
        <x:v>Wednesday</x:v>
      </x:c>
      <x:c r="V2" s="14" t="str">
        <x:v>Educational content</x:v>
      </x:c>
      <x:c r="W2" s="14" t="str">
        <x:v>No</x:v>
      </x:c>
      <x:c r="X2" s="14" t="str">
        <x:v>text, created_at, public_metrics, entities.hashtags</x:v>
      </x:c>
    </x:row>
    <x:row r="3">
      <x:c r="A3" s="14" t="str">
        <x:v>SM002</x:v>
      </x:c>
      <x:c r="B3" s="34" t="n">
        <x:v>46127.40416666667</x:v>
      </x:c>
      <x:c r="C3" s="14" t="str">
        <x:v>Reply</x:v>
      </x:c>
      <x:c r="D3" s="14" t="str">
        <x:v>Customer</x:v>
      </x:c>
      <x:c r="E3" s="14" t="str">
        <x:v>0-500</x:v>
      </x:c>
      <x:c r="F3" s="14" t="str">
        <x:v>Thanks for the reminder. Nearly clicked on a fake delivery text yesterday and this made me double-check.</x:v>
      </x:c>
      <x:c r="G3" s="14" t="str">
        <x:v>Fraud &amp; scams</x:v>
      </x:c>
      <x:c r="H3" s="14" t="str">
        <x:v>Text</x:v>
      </x:c>
      <x:c r="I3" s="14" t="str"/>
      <x:c r="J3" s="14" t="str">
        <x:v>Yes</x:v>
      </x:c>
      <x:c r="K3" s="14" t="str">
        <x:v>Positive</x:v>
      </x:c>
      <x:c r="L3" s="35" t="n">
        <x:v>0.7</x:v>
      </x:c>
      <x:c r="M3" s="36" t="n">
        <x:v>18</x:v>
      </x:c>
      <x:c r="N3" s="36" t="n">
        <x:v>3</x:v>
      </x:c>
      <x:c r="O3" s="36" t="n">
        <x:v>1</x:v>
      </x:c>
      <x:c r="P3" s="36" t="n">
        <x:v>0</x:v>
      </x:c>
      <x:c r="Q3" s="36" t="n">
        <x:v>920</x:v>
      </x:c>
      <x:c r="R3" s="36" t="n">
        <x:v>0</x:v>
      </x:c>
      <x:c r="S3" s="36" t="n">
        <x:f>SUM(M3:P3)+R3</x:f>
        <x:v>22</x:v>
      </x:c>
      <x:c r="T3" s="37" t="n">
        <x:f>IFERROR(S3/Q3,0)</x:f>
        <x:v>0.02391304347826087</x:v>
      </x:c>
      <x:c r="U3" s="14" t="str">
        <x:f>TEXT(B3,"dddd")</x:f>
        <x:v>Wednesday</x:v>
      </x:c>
      <x:c r="V3" s="14" t="str">
        <x:v>Praise</x:v>
      </x:c>
      <x:c r="W3" s="14" t="str">
        <x:v>No</x:v>
      </x:c>
      <x:c r="X3" s="14" t="str">
        <x:v>text, in_reply_to_user_id, referenced_tweets</x:v>
      </x:c>
    </x:row>
    <x:row r="4">
      <x:c r="A4" s="14" t="str">
        <x:v>SM003</x:v>
      </x:c>
      <x:c r="B4" s="34" t="n">
        <x:v>46127.42847222222</x:v>
      </x:c>
      <x:c r="C4" s="14" t="str">
        <x:v>Mention</x:v>
      </x:c>
      <x:c r="D4" s="14" t="str">
        <x:v>Customer</x:v>
      </x:c>
      <x:c r="E4" s="14" t="str">
        <x:v>0-500</x:v>
      </x:c>
      <x:c r="F4" s="14" t="str">
        <x:v>@CommBank I received a message saying my card is locked. Is this real? The link looks strange.</x:v>
      </x:c>
      <x:c r="G4" s="14" t="str">
        <x:v>Fraud &amp; scams</x:v>
      </x:c>
      <x:c r="H4" s="14" t="str">
        <x:v>Text</x:v>
      </x:c>
      <x:c r="I4" s="14" t="str"/>
      <x:c r="J4" s="14" t="str">
        <x:v>Yes</x:v>
      </x:c>
      <x:c r="K4" s="14" t="str">
        <x:v>Negative</x:v>
      </x:c>
      <x:c r="L4" s="35" t="n">
        <x:v>-0.35</x:v>
      </x:c>
      <x:c r="M4" s="36" t="n">
        <x:v>6</x:v>
      </x:c>
      <x:c r="N4" s="36" t="n">
        <x:v>9</x:v>
      </x:c>
      <x:c r="O4" s="36" t="n">
        <x:v>0</x:v>
      </x:c>
      <x:c r="P4" s="36" t="n">
        <x:v>0</x:v>
      </x:c>
      <x:c r="Q4" s="36" t="n">
        <x:v>780</x:v>
      </x:c>
      <x:c r="R4" s="36" t="n">
        <x:v>0</x:v>
      </x:c>
      <x:c r="S4" s="36" t="n">
        <x:f>SUM(M4:P4)+R4</x:f>
        <x:v>15</x:v>
      </x:c>
      <x:c r="T4" s="37" t="n">
        <x:f>IFERROR(S4/Q4,0)</x:f>
        <x:v>0.019230769230769232</x:v>
      </x:c>
      <x:c r="U4" s="14" t="str">
        <x:f>TEXT(B4,"dddd")</x:f>
        <x:v>Wednesday</x:v>
      </x:c>
      <x:c r="V4" s="14" t="str">
        <x:v>Scam report</x:v>
      </x:c>
      <x:c r="W4" s="14" t="str">
        <x:v>Yes</x:v>
      </x:c>
      <x:c r="X4" s="14" t="str">
        <x:v>text, entities.mentions, author_id</x:v>
      </x:c>
    </x:row>
    <x:row r="5">
      <x:c r="A5" s="14" t="str">
        <x:v>SM004</x:v>
      </x:c>
      <x:c r="B5" s="34" t="n">
        <x:v>46128.520833333336</x:v>
      </x:c>
      <x:c r="C5" s="14" t="str">
        <x:v>Original post</x:v>
      </x:c>
      <x:c r="D5" s="14" t="str">
        <x:v>CommBank</x:v>
      </x:c>
      <x:c r="E5" s="14" t="str">
        <x:v>50k+</x:v>
      </x:c>
      <x:c r="F5" s="14" t="str">
        <x:v>New budget habit: split your weekly spend into essentials, savings and fun money before the weekend starts.</x:v>
      </x:c>
      <x:c r="G5" s="14" t="str">
        <x:v>Financial wellbeing</x:v>
      </x:c>
      <x:c r="H5" s="14" t="str">
        <x:v>Text + image</x:v>
      </x:c>
      <x:c r="I5" s="14" t="str">
        <x:v>#MoneyTips #Budgeting</x:v>
      </x:c>
      <x:c r="J5" s="14" t="str">
        <x:v>No</x:v>
      </x:c>
      <x:c r="K5" s="14" t="str">
        <x:v>Positive</x:v>
      </x:c>
      <x:c r="L5" s="35" t="n">
        <x:v>0.58</x:v>
      </x:c>
      <x:c r="M5" s="36" t="n">
        <x:v>620</x:v>
      </x:c>
      <x:c r="N5" s="36" t="n">
        <x:v>42</x:v>
      </x:c>
      <x:c r="O5" s="36" t="n">
        <x:v>128</x:v>
      </x:c>
      <x:c r="P5" s="36" t="n">
        <x:v>12</x:v>
      </x:c>
      <x:c r="Q5" s="36" t="n">
        <x:v>84200</x:v>
      </x:c>
      <x:c r="R5" s="36" t="n">
        <x:v>5100</x:v>
      </x:c>
      <x:c r="S5" s="36" t="n">
        <x:f>SUM(M5:P5)+R5</x:f>
        <x:v>5902</x:v>
      </x:c>
      <x:c r="T5" s="37" t="n">
        <x:f>IFERROR(S5/Q5,0)</x:f>
        <x:v>0.07009501187648456</x:v>
      </x:c>
      <x:c r="U5" s="14" t="str">
        <x:f>TEXT(B5,"dddd")</x:f>
        <x:v>Thursday</x:v>
      </x:c>
      <x:c r="V5" s="14" t="str">
        <x:v>Educational content</x:v>
      </x:c>
      <x:c r="W5" s="14" t="str">
        <x:v>No</x:v>
      </x:c>
      <x:c r="X5" s="14" t="str">
        <x:v>text, created_at, public_metrics, media_keys</x:v>
      </x:c>
    </x:row>
    <x:row r="6">
      <x:c r="A6" s="14" t="str">
        <x:v>SM005</x:v>
      </x:c>
      <x:c r="B6" s="34" t="n">
        <x:v>46128.544444444444</x:v>
      </x:c>
      <x:c r="C6" s="14" t="str">
        <x:v>Reply</x:v>
      </x:c>
      <x:c r="D6" s="14" t="str">
        <x:v>Customer</x:v>
      </x:c>
      <x:c r="E6" s="14" t="str">
        <x:v>501-5k</x:v>
      </x:c>
      <x:c r="F6" s="14" t="str">
        <x:v>This is actually useful. Would love a template for tracking weekly spending categories.</x:v>
      </x:c>
      <x:c r="G6" s="14" t="str">
        <x:v>Financial wellbeing</x:v>
      </x:c>
      <x:c r="H6" s="14" t="str">
        <x:v>Text</x:v>
      </x:c>
      <x:c r="I6" s="14" t="str"/>
      <x:c r="J6" s="14" t="str">
        <x:v>Yes</x:v>
      </x:c>
      <x:c r="K6" s="14" t="str">
        <x:v>Positive</x:v>
      </x:c>
      <x:c r="L6" s="35" t="n">
        <x:v>0.62</x:v>
      </x:c>
      <x:c r="M6" s="36" t="n">
        <x:v>25</x:v>
      </x:c>
      <x:c r="N6" s="36" t="n">
        <x:v>2</x:v>
      </x:c>
      <x:c r="O6" s="36" t="n">
        <x:v>4</x:v>
      </x:c>
      <x:c r="P6" s="36" t="n">
        <x:v>0</x:v>
      </x:c>
      <x:c r="Q6" s="36" t="n">
        <x:v>1300</x:v>
      </x:c>
      <x:c r="R6" s="36" t="n">
        <x:v>0</x:v>
      </x:c>
      <x:c r="S6" s="36" t="n">
        <x:f>SUM(M6:P6)+R6</x:f>
        <x:v>31</x:v>
      </x:c>
      <x:c r="T6" s="37" t="n">
        <x:f>IFERROR(S6/Q6,0)</x:f>
        <x:v>0.023846153846153847</x:v>
      </x:c>
      <x:c r="U6" s="14" t="str">
        <x:f>TEXT(B6,"dddd")</x:f>
        <x:v>Thursday</x:v>
      </x:c>
      <x:c r="V6" s="14" t="str">
        <x:v>Feature feedback</x:v>
      </x:c>
      <x:c r="W6" s="14" t="str">
        <x:v>No</x:v>
      </x:c>
      <x:c r="X6" s="14" t="str">
        <x:v>text, referenced_tweets, public_metrics</x:v>
      </x:c>
    </x:row>
    <x:row r="7">
      <x:c r="A7" s="14" t="str">
        <x:v>SM006</x:v>
      </x:c>
      <x:c r="B7" s="34" t="n">
        <x:v>46129.368055555555</x:v>
      </x:c>
      <x:c r="C7" s="14" t="str">
        <x:v>Mention</x:v>
      </x:c>
      <x:c r="D7" s="14" t="str">
        <x:v>Customer</x:v>
      </x:c>
      <x:c r="E7" s="14" t="str">
        <x:v>0-500</x:v>
      </x:c>
      <x:c r="F7" s="14" t="str">
        <x:v>@CommBank app keeps timing out this morning. I need to pay rent before work.</x:v>
      </x:c>
      <x:c r="G7" s="14" t="str">
        <x:v>Digital banking</x:v>
      </x:c>
      <x:c r="H7" s="14" t="str">
        <x:v>Text</x:v>
      </x:c>
      <x:c r="I7" s="14" t="str"/>
      <x:c r="J7" s="14" t="str">
        <x:v>Yes</x:v>
      </x:c>
      <x:c r="K7" s="14" t="str">
        <x:v>Negative</x:v>
      </x:c>
      <x:c r="L7" s="35" t="n">
        <x:v>-0.82</x:v>
      </x:c>
      <x:c r="M7" s="36" t="n">
        <x:v>41</x:v>
      </x:c>
      <x:c r="N7" s="36" t="n">
        <x:v>18</x:v>
      </x:c>
      <x:c r="O7" s="36" t="n">
        <x:v>7</x:v>
      </x:c>
      <x:c r="P7" s="36" t="n">
        <x:v>1</x:v>
      </x:c>
      <x:c r="Q7" s="36" t="n">
        <x:v>4500</x:v>
      </x:c>
      <x:c r="R7" s="36" t="n">
        <x:v>0</x:v>
      </x:c>
      <x:c r="S7" s="36" t="n">
        <x:f>SUM(M7:P7)+R7</x:f>
        <x:v>67</x:v>
      </x:c>
      <x:c r="T7" s="37" t="n">
        <x:f>IFERROR(S7/Q7,0)</x:f>
        <x:v>0.014888888888888889</x:v>
      </x:c>
      <x:c r="U7" s="14" t="str">
        <x:f>TEXT(B7,"dddd")</x:f>
        <x:v>Friday</x:v>
      </x:c>
      <x:c r="V7" s="14" t="str">
        <x:v>Complaint</x:v>
      </x:c>
      <x:c r="W7" s="14" t="str">
        <x:v>Yes</x:v>
      </x:c>
      <x:c r="X7" s="14" t="str">
        <x:v>text, entities.mentions, created_at</x:v>
      </x:c>
    </x:row>
    <x:row r="8">
      <x:c r="A8" s="14" t="str">
        <x:v>SM007</x:v>
      </x:c>
      <x:c r="B8" s="34" t="n">
        <x:v>46129.385416666664</x:v>
      </x:c>
      <x:c r="C8" s="14" t="str">
        <x:v>Reply</x:v>
      </x:c>
      <x:c r="D8" s="14" t="str">
        <x:v>CommBank</x:v>
      </x:c>
      <x:c r="E8" s="14" t="str">
        <x:v>50k+</x:v>
      </x:c>
      <x:c r="F8" s="14" t="str">
        <x:v>Sorry for the trouble. Please try closing and reopening the app. If the issue continues, send us a private message so we can help.</x:v>
      </x:c>
      <x:c r="G8" s="14" t="str">
        <x:v>Customer support</x:v>
      </x:c>
      <x:c r="H8" s="14" t="str">
        <x:v>Text</x:v>
      </x:c>
      <x:c r="I8" s="14" t="str"/>
      <x:c r="J8" s="14" t="str">
        <x:v>Yes</x:v>
      </x:c>
      <x:c r="K8" s="14" t="str">
        <x:v>Neutral</x:v>
      </x:c>
      <x:c r="L8" s="35" t="n">
        <x:v>0.05</x:v>
      </x:c>
      <x:c r="M8" s="36" t="n">
        <x:v>12</x:v>
      </x:c>
      <x:c r="N8" s="36" t="n">
        <x:v>5</x:v>
      </x:c>
      <x:c r="O8" s="36" t="n">
        <x:v>0</x:v>
      </x:c>
      <x:c r="P8" s="36" t="n">
        <x:v>0</x:v>
      </x:c>
      <x:c r="Q8" s="36" t="n">
        <x:v>2100</x:v>
      </x:c>
      <x:c r="R8" s="36" t="n">
        <x:v>0</x:v>
      </x:c>
      <x:c r="S8" s="36" t="n">
        <x:f>SUM(M8:P8)+R8</x:f>
        <x:v>17</x:v>
      </x:c>
      <x:c r="T8" s="37" t="n">
        <x:f>IFERROR(S8/Q8,0)</x:f>
        <x:v>0.008095238095238095</x:v>
      </x:c>
      <x:c r="U8" s="14" t="str">
        <x:f>TEXT(B8,"dddd")</x:f>
        <x:v>Friday</x:v>
      </x:c>
      <x:c r="V8" s="14" t="str">
        <x:v>Customer support</x:v>
      </x:c>
      <x:c r="W8" s="14" t="str">
        <x:v>No</x:v>
      </x:c>
      <x:c r="X8" s="14" t="str">
        <x:v>text, referenced_tweets, conversation_id</x:v>
      </x:c>
    </x:row>
    <x:row r="9">
      <x:c r="A9" s="14" t="str">
        <x:v>SM008</x:v>
      </x:c>
      <x:c r="B9" s="34" t="n">
        <x:v>46130.739583333336</x:v>
      </x:c>
      <x:c r="C9" s="14" t="str">
        <x:v>Original post</x:v>
      </x:c>
      <x:c r="D9" s="14" t="str">
        <x:v>CommBank</x:v>
      </x:c>
      <x:c r="E9" s="14" t="str">
        <x:v>50k+</x:v>
      </x:c>
      <x:c r="F9" s="14" t="str">
        <x:v>Planning a home renovation? Compare quotes, keep a buffer for surprises and avoid transferring deposits until you verify the business.</x:v>
      </x:c>
      <x:c r="G9" s="14" t="str">
        <x:v>Financial wellbeing</x:v>
      </x:c>
      <x:c r="H9" s="14" t="str">
        <x:v>Link</x:v>
      </x:c>
      <x:c r="I9" s="14" t="str">
        <x:v>#HomeBudget #MoneySafety</x:v>
      </x:c>
      <x:c r="J9" s="14" t="str">
        <x:v>No</x:v>
      </x:c>
      <x:c r="K9" s="14" t="str">
        <x:v>Neutral</x:v>
      </x:c>
      <x:c r="L9" s="35" t="n">
        <x:v>0.22</x:v>
      </x:c>
      <x:c r="M9" s="36" t="n">
        <x:v>208</x:v>
      </x:c>
      <x:c r="N9" s="36" t="n">
        <x:v>19</x:v>
      </x:c>
      <x:c r="O9" s="36" t="n">
        <x:v>42</x:v>
      </x:c>
      <x:c r="P9" s="36" t="n">
        <x:v>5</x:v>
      </x:c>
      <x:c r="Q9" s="36" t="n">
        <x:v>61200</x:v>
      </x:c>
      <x:c r="R9" s="36" t="n">
        <x:v>390</x:v>
      </x:c>
      <x:c r="S9" s="36" t="n">
        <x:f>SUM(M9:P9)+R9</x:f>
        <x:v>664</x:v>
      </x:c>
      <x:c r="T9" s="37" t="n">
        <x:f>IFERROR(S9/Q9,0)</x:f>
        <x:v>0.010849673202614379</x:v>
      </x:c>
      <x:c r="U9" s="14" t="str">
        <x:f>TEXT(B9,"dddd")</x:f>
        <x:v>Saturday</x:v>
      </x:c>
      <x:c r="V9" s="14" t="str">
        <x:v>Educational content</x:v>
      </x:c>
      <x:c r="W9" s="14" t="str">
        <x:v>No</x:v>
      </x:c>
      <x:c r="X9" s="14" t="str">
        <x:v>text, entities.urls, public_metrics</x:v>
      </x:c>
    </x:row>
    <x:row r="10">
      <x:c r="A10" s="14" t="str">
        <x:v>SM009</x:v>
      </x:c>
      <x:c r="B10" s="34" t="n">
        <x:v>46131.47222222222</x:v>
      </x:c>
      <x:c r="C10" s="14" t="str">
        <x:v>Mention</x:v>
      </x:c>
      <x:c r="D10" s="14" t="str">
        <x:v>Business customer</x:v>
      </x:c>
      <x:c r="E10" s="14" t="str">
        <x:v>501-5k</x:v>
      </x:c>
      <x:c r="F10" s="14" t="str">
        <x:v>Our small business card payment issue was sorted quickly today. Appreciate the support team calling back.</x:v>
      </x:c>
      <x:c r="G10" s="14" t="str">
        <x:v>Business banking</x:v>
      </x:c>
      <x:c r="H10" s="14" t="str">
        <x:v>Text</x:v>
      </x:c>
      <x:c r="I10" s="14" t="str"/>
      <x:c r="J10" s="14" t="str">
        <x:v>Yes</x:v>
      </x:c>
      <x:c r="K10" s="14" t="str">
        <x:v>Positive</x:v>
      </x:c>
      <x:c r="L10" s="35" t="n">
        <x:v>0.74</x:v>
      </x:c>
      <x:c r="M10" s="36" t="n">
        <x:v>53</x:v>
      </x:c>
      <x:c r="N10" s="36" t="n">
        <x:v>4</x:v>
      </x:c>
      <x:c r="O10" s="36" t="n">
        <x:v>8</x:v>
      </x:c>
      <x:c r="P10" s="36" t="n">
        <x:v>1</x:v>
      </x:c>
      <x:c r="Q10" s="36" t="n">
        <x:v>3900</x:v>
      </x:c>
      <x:c r="R10" s="36" t="n">
        <x:v>0</x:v>
      </x:c>
      <x:c r="S10" s="36" t="n">
        <x:f>SUM(M10:P10)+R10</x:f>
        <x:v>66</x:v>
      </x:c>
      <x:c r="T10" s="37" t="n">
        <x:f>IFERROR(S10/Q10,0)</x:f>
        <x:v>0.016923076923076923</x:v>
      </x:c>
      <x:c r="U10" s="14" t="str">
        <x:f>TEXT(B10,"dddd")</x:f>
        <x:v>Sunday</x:v>
      </x:c>
      <x:c r="V10" s="14" t="str">
        <x:v>Praise</x:v>
      </x:c>
      <x:c r="W10" s="14" t="str">
        <x:v>No</x:v>
      </x:c>
      <x:c r="X10" s="14" t="str">
        <x:v>text, author_id, public_metrics</x:v>
      </x:c>
    </x:row>
    <x:row r="11">
      <x:c r="A11" s="14" t="str">
        <x:v>SM010</x:v>
      </x:c>
      <x:c r="B11" s="34" t="n">
        <x:v>46132.319444444445</x:v>
      </x:c>
      <x:c r="C11" s="14" t="str">
        <x:v>Original post</x:v>
      </x:c>
      <x:c r="D11" s="14" t="str">
        <x:v>CommBank</x:v>
      </x:c>
      <x:c r="E11" s="14" t="str">
        <x:v>50k+</x:v>
      </x:c>
      <x:c r="F11" s="14" t="str">
        <x:v>Scheduled maintenance: some card controls and notifications may be unavailable from 1:00am to 3:00am AEST on Sunday.</x:v>
      </x:c>
      <x:c r="G11" s="14" t="str">
        <x:v>Outage/service issue</x:v>
      </x:c>
      <x:c r="H11" s="14" t="str">
        <x:v>Text</x:v>
      </x:c>
      <x:c r="I11" s="14" t="str">
        <x:v>#ServiceUpdate</x:v>
      </x:c>
      <x:c r="J11" s="14" t="str">
        <x:v>No</x:v>
      </x:c>
      <x:c r="K11" s="14" t="str">
        <x:v>Neutral</x:v>
      </x:c>
      <x:c r="L11" s="35" t="n">
        <x:v>0</x:v>
      </x:c>
      <x:c r="M11" s="36" t="n">
        <x:v>315</x:v>
      </x:c>
      <x:c r="N11" s="36" t="n">
        <x:v>88</x:v>
      </x:c>
      <x:c r="O11" s="36" t="n">
        <x:v>91</x:v>
      </x:c>
      <x:c r="P11" s="36" t="n">
        <x:v>19</x:v>
      </x:c>
      <x:c r="Q11" s="36" t="n">
        <x:v>96500</x:v>
      </x:c>
      <x:c r="R11" s="36" t="n">
        <x:v>800</x:v>
      </x:c>
      <x:c r="S11" s="36" t="n">
        <x:f>SUM(M11:P11)+R11</x:f>
        <x:v>1313</x:v>
      </x:c>
      <x:c r="T11" s="37" t="n">
        <x:f>IFERROR(S11/Q11,0)</x:f>
        <x:v>0.013606217616580311</x:v>
      </x:c>
      <x:c r="U11" s="14" t="str">
        <x:f>TEXT(B11,"dddd")</x:f>
        <x:v>Monday</x:v>
      </x:c>
      <x:c r="V11" s="14" t="str">
        <x:v>News/update</x:v>
      </x:c>
      <x:c r="W11" s="14" t="str">
        <x:v>No</x:v>
      </x:c>
      <x:c r="X11" s="14" t="str">
        <x:v>text, created_at, public_metrics</x:v>
      </x:c>
    </x:row>
    <x:row r="12">
      <x:c r="A12" s="14" t="str">
        <x:v>SM011</x:v>
      </x:c>
      <x:c r="B12" s="34" t="n">
        <x:v>46132.34166666667</x:v>
      </x:c>
      <x:c r="C12" s="14" t="str">
        <x:v>Reply</x:v>
      </x:c>
      <x:c r="D12" s="14" t="str">
        <x:v>Customer</x:v>
      </x:c>
      <x:c r="E12" s="14" t="str">
        <x:v>0-500</x:v>
      </x:c>
      <x:c r="F12" s="14" t="str">
        <x:v>Thanks for giving the timing clearly. Much better than finding out during checkout.</x:v>
      </x:c>
      <x:c r="G12" s="14" t="str">
        <x:v>Outage/service issue</x:v>
      </x:c>
      <x:c r="H12" s="14" t="str">
        <x:v>Text</x:v>
      </x:c>
      <x:c r="I12" s="14" t="str"/>
      <x:c r="J12" s="14" t="str">
        <x:v>Yes</x:v>
      </x:c>
      <x:c r="K12" s="14" t="str">
        <x:v>Positive</x:v>
      </x:c>
      <x:c r="L12" s="35" t="n">
        <x:v>0.5</x:v>
      </x:c>
      <x:c r="M12" s="36" t="n">
        <x:v>14</x:v>
      </x:c>
      <x:c r="N12" s="36" t="n">
        <x:v>1</x:v>
      </x:c>
      <x:c r="O12" s="36" t="n">
        <x:v>2</x:v>
      </x:c>
      <x:c r="P12" s="36" t="n">
        <x:v>0</x:v>
      </x:c>
      <x:c r="Q12" s="36" t="n">
        <x:v>840</x:v>
      </x:c>
      <x:c r="R12" s="36" t="n">
        <x:v>0</x:v>
      </x:c>
      <x:c r="S12" s="36" t="n">
        <x:f>SUM(M12:P12)+R12</x:f>
        <x:v>17</x:v>
      </x:c>
      <x:c r="T12" s="37" t="n">
        <x:f>IFERROR(S12/Q12,0)</x:f>
        <x:v>0.02023809523809524</x:v>
      </x:c>
      <x:c r="U12" s="14" t="str">
        <x:f>TEXT(B12,"dddd")</x:f>
        <x:v>Monday</x:v>
      </x:c>
      <x:c r="V12" s="14" t="str">
        <x:v>Praise</x:v>
      </x:c>
      <x:c r="W12" s="14" t="str">
        <x:v>No</x:v>
      </x:c>
      <x:c r="X12" s="14" t="str">
        <x:v>text, referenced_tweets</x:v>
      </x:c>
    </x:row>
    <x:row r="13">
      <x:c r="A13" s="14" t="str">
        <x:v>SM012</x:v>
      </x:c>
      <x:c r="B13" s="34" t="n">
        <x:v>46133.75347222222</x:v>
      </x:c>
      <x:c r="C13" s="14" t="str">
        <x:v>Mention</x:v>
      </x:c>
      <x:c r="D13" s="14" t="str">
        <x:v>Customer</x:v>
      </x:c>
      <x:c r="E13" s="14" t="str">
        <x:v>0-500</x:v>
      </x:c>
      <x:c r="F13" s="14" t="str">
        <x:v>My transfer has been pending for hours and I can't find a clear status page. Is there an outage?</x:v>
      </x:c>
      <x:c r="G13" s="14" t="str">
        <x:v>Outage/service issue</x:v>
      </x:c>
      <x:c r="H13" s="14" t="str">
        <x:v>Text</x:v>
      </x:c>
      <x:c r="I13" s="14" t="str"/>
      <x:c r="J13" s="14" t="str">
        <x:v>Yes</x:v>
      </x:c>
      <x:c r="K13" s="14" t="str">
        <x:v>Negative</x:v>
      </x:c>
      <x:c r="L13" s="35" t="n">
        <x:v>-0.76</x:v>
      </x:c>
      <x:c r="M13" s="36" t="n">
        <x:v>33</x:v>
      </x:c>
      <x:c r="N13" s="36" t="n">
        <x:v>22</x:v>
      </x:c>
      <x:c r="O13" s="36" t="n">
        <x:v>4</x:v>
      </x:c>
      <x:c r="P13" s="36" t="n">
        <x:v>2</x:v>
      </x:c>
      <x:c r="Q13" s="36" t="n">
        <x:v>5200</x:v>
      </x:c>
      <x:c r="R13" s="36" t="n">
        <x:v>0</x:v>
      </x:c>
      <x:c r="S13" s="36" t="n">
        <x:f>SUM(M13:P13)+R13</x:f>
        <x:v>61</x:v>
      </x:c>
      <x:c r="T13" s="37" t="n">
        <x:f>IFERROR(S13/Q13,0)</x:f>
        <x:v>0.01173076923076923</x:v>
      </x:c>
      <x:c r="U13" s="14" t="str">
        <x:f>TEXT(B13,"dddd")</x:f>
        <x:v>Tuesday</x:v>
      </x:c>
      <x:c r="V13" s="14" t="str">
        <x:v>Question</x:v>
      </x:c>
      <x:c r="W13" s="14" t="str">
        <x:v>Yes</x:v>
      </x:c>
      <x:c r="X13" s="14" t="str">
        <x:v>text, entities.mentions, created_at</x:v>
      </x:c>
    </x:row>
    <x:row r="14">
      <x:c r="A14" s="14" t="str">
        <x:v>SM013</x:v>
      </x:c>
      <x:c r="B14" s="34" t="n">
        <x:v>46134.416666666664</x:v>
      </x:c>
      <x:c r="C14" s="14" t="str">
        <x:v>Original post</x:v>
      </x:c>
      <x:c r="D14" s="14" t="str">
        <x:v>CommBank</x:v>
      </x:c>
      <x:c r="E14" s="14" t="str">
        <x:v>50k+</x:v>
      </x:c>
      <x:c r="F14" s="14" t="str">
        <x:v>Three signs a message may be a scam: urgency, unusual links and requests for codes. Pause before you respond.</x:v>
      </x:c>
      <x:c r="G14" s="14" t="str">
        <x:v>Security education</x:v>
      </x:c>
      <x:c r="H14" s="14" t="str">
        <x:v>Text + video</x:v>
      </x:c>
      <x:c r="I14" s="14" t="str">
        <x:v>#CyberSafety #ScamAwareness</x:v>
      </x:c>
      <x:c r="J14" s="14" t="str">
        <x:v>No</x:v>
      </x:c>
      <x:c r="K14" s="14" t="str">
        <x:v>Positive</x:v>
      </x:c>
      <x:c r="L14" s="35" t="n">
        <x:v>0.46</x:v>
      </x:c>
      <x:c r="M14" s="36" t="n">
        <x:v>1100</x:v>
      </x:c>
      <x:c r="N14" s="36" t="n">
        <x:v>72</x:v>
      </x:c>
      <x:c r="O14" s="36" t="n">
        <x:v>405</x:v>
      </x:c>
      <x:c r="P14" s="36" t="n">
        <x:v>31</x:v>
      </x:c>
      <x:c r="Q14" s="36" t="n">
        <x:v>156000</x:v>
      </x:c>
      <x:c r="R14" s="36" t="n">
        <x:v>7400</x:v>
      </x:c>
      <x:c r="S14" s="36" t="n">
        <x:f>SUM(M14:P14)+R14</x:f>
        <x:v>9008</x:v>
      </x:c>
      <x:c r="T14" s="37" t="n">
        <x:f>IFERROR(S14/Q14,0)</x:f>
        <x:v>0.05774358974358974</x:v>
      </x:c>
      <x:c r="U14" s="14" t="str">
        <x:f>TEXT(B14,"dddd")</x:f>
        <x:v>Wednesday</x:v>
      </x:c>
      <x:c r="V14" s="14" t="str">
        <x:v>Educational content</x:v>
      </x:c>
      <x:c r="W14" s="14" t="str">
        <x:v>No</x:v>
      </x:c>
      <x:c r="X14" s="14" t="str">
        <x:v>text, attachments.media_keys, entities.hashtags</x:v>
      </x:c>
    </x:row>
    <x:row r="15">
      <x:c r="A15" s="14" t="str">
        <x:v>SM014</x:v>
      </x:c>
      <x:c r="B15" s="34" t="n">
        <x:v>46134.43263888889</x:v>
      </x:c>
      <x:c r="C15" s="14" t="str">
        <x:v>Quote post</x:v>
      </x:c>
      <x:c r="D15" s="14" t="str">
        <x:v>Scam awareness org</x:v>
      </x:c>
      <x:c r="E15" s="14" t="str">
        <x:v>5k-50k</x:v>
      </x:c>
      <x:c r="F15" s="14" t="str">
        <x:v>Good practical reminder from @CommBank. The 'urgent action required' wording is still one of the biggest red flags.</x:v>
      </x:c>
      <x:c r="G15" s="14" t="str">
        <x:v>Security education</x:v>
      </x:c>
      <x:c r="H15" s="14" t="str">
        <x:v>Text</x:v>
      </x:c>
      <x:c r="I15" s="14" t="str">
        <x:v>#ScamAwareness</x:v>
      </x:c>
      <x:c r="J15" s="14" t="str">
        <x:v>Yes</x:v>
      </x:c>
      <x:c r="K15" s="14" t="str">
        <x:v>Positive</x:v>
      </x:c>
      <x:c r="L15" s="35" t="n">
        <x:v>0.67</x:v>
      </x:c>
      <x:c r="M15" s="36" t="n">
        <x:v>96</x:v>
      </x:c>
      <x:c r="N15" s="36" t="n">
        <x:v>6</x:v>
      </x:c>
      <x:c r="O15" s="36" t="n">
        <x:v>31</x:v>
      </x:c>
      <x:c r="P15" s="36" t="n">
        <x:v>4</x:v>
      </x:c>
      <x:c r="Q15" s="36" t="n">
        <x:v>6700</x:v>
      </x:c>
      <x:c r="R15" s="36" t="n">
        <x:v>0</x:v>
      </x:c>
      <x:c r="S15" s="36" t="n">
        <x:f>SUM(M15:P15)+R15</x:f>
        <x:v>137</x:v>
      </x:c>
      <x:c r="T15" s="37" t="n">
        <x:f>IFERROR(S15/Q15,0)</x:f>
        <x:v>0.02044776119402985</x:v>
      </x:c>
      <x:c r="U15" s="14" t="str">
        <x:f>TEXT(B15,"dddd")</x:f>
        <x:v>Wednesday</x:v>
      </x:c>
      <x:c r="V15" s="14" t="str">
        <x:v>Educational content</x:v>
      </x:c>
      <x:c r="W15" s="14" t="str">
        <x:v>No</x:v>
      </x:c>
      <x:c r="X15" s="14" t="str">
        <x:v>text, referenced_tweets, entities.mentions</x:v>
      </x:c>
    </x:row>
    <x:row r="16">
      <x:c r="A16" s="14" t="str">
        <x:v>SM015</x:v>
      </x:c>
      <x:c r="B16" s="34" t="n">
        <x:v>46135.604166666664</x:v>
      </x:c>
      <x:c r="C16" s="14" t="str">
        <x:v>Original post</x:v>
      </x:c>
      <x:c r="D16" s="14" t="str">
        <x:v>CommBank</x:v>
      </x:c>
      <x:c r="E16" s="14" t="str">
        <x:v>50k+</x:v>
      </x:c>
      <x:c r="F16" s="14" t="str">
        <x:v>We are supporting local community groups with grants focused on financial confidence and digital skills.</x:v>
      </x:c>
      <x:c r="G16" s="14" t="str">
        <x:v>Community</x:v>
      </x:c>
      <x:c r="H16" s="14" t="str">
        <x:v>Text + image</x:v>
      </x:c>
      <x:c r="I16" s="14" t="str">
        <x:v>#Community #FinancialConfidence</x:v>
      </x:c>
      <x:c r="J16" s="14" t="str">
        <x:v>No</x:v>
      </x:c>
      <x:c r="K16" s="14" t="str">
        <x:v>Positive</x:v>
      </x:c>
      <x:c r="L16" s="35" t="n">
        <x:v>0.63</x:v>
      </x:c>
      <x:c r="M16" s="36" t="n">
        <x:v>730</x:v>
      </x:c>
      <x:c r="N16" s="36" t="n">
        <x:v>51</x:v>
      </x:c>
      <x:c r="O16" s="36" t="n">
        <x:v>144</x:v>
      </x:c>
      <x:c r="P16" s="36" t="n">
        <x:v>11</x:v>
      </x:c>
      <x:c r="Q16" s="36" t="n">
        <x:v>102000</x:v>
      </x:c>
      <x:c r="R16" s="36" t="n">
        <x:v>2900</x:v>
      </x:c>
      <x:c r="S16" s="36" t="n">
        <x:f>SUM(M16:P16)+R16</x:f>
        <x:v>3836</x:v>
      </x:c>
      <x:c r="T16" s="37" t="n">
        <x:f>IFERROR(S16/Q16,0)</x:f>
        <x:v>0.037607843137254904</x:v>
      </x:c>
      <x:c r="U16" s="14" t="str">
        <x:f>TEXT(B16,"dddd")</x:f>
        <x:v>Thursday</x:v>
      </x:c>
      <x:c r="V16" s="14" t="str">
        <x:v>Campaign</x:v>
      </x:c>
      <x:c r="W16" s="14" t="str">
        <x:v>No</x:v>
      </x:c>
      <x:c r="X16" s="14" t="str">
        <x:v>text, entities.hashtags, public_metrics</x:v>
      </x:c>
    </x:row>
    <x:row r="17">
      <x:c r="A17" s="14" t="str">
        <x:v>SM016</x:v>
      </x:c>
      <x:c r="B17" s="34" t="n">
        <x:v>46135.62986111111</x:v>
      </x:c>
      <x:c r="C17" s="14" t="str">
        <x:v>Reply</x:v>
      </x:c>
      <x:c r="D17" s="14" t="str">
        <x:v>Community org</x:v>
      </x:c>
      <x:c r="E17" s="14" t="str">
        <x:v>501-5k</x:v>
      </x:c>
      <x:c r="F17" s="14" t="str">
        <x:v>Proud to be part of this program. The digital skills sessions have already helped our clients feel safer online.</x:v>
      </x:c>
      <x:c r="G17" s="14" t="str">
        <x:v>Community</x:v>
      </x:c>
      <x:c r="H17" s="14" t="str">
        <x:v>Text</x:v>
      </x:c>
      <x:c r="I17" s="14" t="str"/>
      <x:c r="J17" s="14" t="str">
        <x:v>Yes</x:v>
      </x:c>
      <x:c r="K17" s="14" t="str">
        <x:v>Positive</x:v>
      </x:c>
      <x:c r="L17" s="35" t="n">
        <x:v>0.86</x:v>
      </x:c>
      <x:c r="M17" s="36" t="n">
        <x:v>64</x:v>
      </x:c>
      <x:c r="N17" s="36" t="n">
        <x:v>3</x:v>
      </x:c>
      <x:c r="O17" s="36" t="n">
        <x:v>13</x:v>
      </x:c>
      <x:c r="P17" s="36" t="n">
        <x:v>1</x:v>
      </x:c>
      <x:c r="Q17" s="36" t="n">
        <x:v>4200</x:v>
      </x:c>
      <x:c r="R17" s="36" t="n">
        <x:v>0</x:v>
      </x:c>
      <x:c r="S17" s="36" t="n">
        <x:f>SUM(M17:P17)+R17</x:f>
        <x:v>81</x:v>
      </x:c>
      <x:c r="T17" s="37" t="n">
        <x:f>IFERROR(S17/Q17,0)</x:f>
        <x:v>0.019285714285714285</x:v>
      </x:c>
      <x:c r="U17" s="14" t="str">
        <x:f>TEXT(B17,"dddd")</x:f>
        <x:v>Thursday</x:v>
      </x:c>
      <x:c r="V17" s="14" t="str">
        <x:v>Praise</x:v>
      </x:c>
      <x:c r="W17" s="14" t="str">
        <x:v>No</x:v>
      </x:c>
      <x:c r="X17" s="14" t="str">
        <x:v>text, author_id, public_metrics</x:v>
      </x:c>
    </x:row>
    <x:row r="18">
      <x:c r="A18" s="14" t="str">
        <x:v>SM017</x:v>
      </x:c>
      <x:c r="B18" s="34" t="n">
        <x:v>46136.34722222222</x:v>
      </x:c>
      <x:c r="C18" s="14" t="str">
        <x:v>Mention</x:v>
      </x:c>
      <x:c r="D18" s="14" t="str">
        <x:v>Customer</x:v>
      </x:c>
      <x:c r="E18" s="14" t="str">
        <x:v>0-500</x:v>
      </x:c>
      <x:c r="F18" s="14" t="str">
        <x:v>Branch wait times are rough lately. I just need a replacement card and couldn't get through on chat.</x:v>
      </x:c>
      <x:c r="G18" s="14" t="str">
        <x:v>Branch/ATM</x:v>
      </x:c>
      <x:c r="H18" s="14" t="str">
        <x:v>Text</x:v>
      </x:c>
      <x:c r="I18" s="14" t="str"/>
      <x:c r="J18" s="14" t="str">
        <x:v>Yes</x:v>
      </x:c>
      <x:c r="K18" s="14" t="str">
        <x:v>Negative</x:v>
      </x:c>
      <x:c r="L18" s="35" t="n">
        <x:v>-0.7</x:v>
      </x:c>
      <x:c r="M18" s="36" t="n">
        <x:v>28</x:v>
      </x:c>
      <x:c r="N18" s="36" t="n">
        <x:v>12</x:v>
      </x:c>
      <x:c r="O18" s="36" t="n">
        <x:v>3</x:v>
      </x:c>
      <x:c r="P18" s="36" t="n">
        <x:v>1</x:v>
      </x:c>
      <x:c r="Q18" s="36" t="n">
        <x:v>3100</x:v>
      </x:c>
      <x:c r="R18" s="36" t="n">
        <x:v>0</x:v>
      </x:c>
      <x:c r="S18" s="36" t="n">
        <x:f>SUM(M18:P18)+R18</x:f>
        <x:v>44</x:v>
      </x:c>
      <x:c r="T18" s="37" t="n">
        <x:f>IFERROR(S18/Q18,0)</x:f>
        <x:v>0.014193548387096775</x:v>
      </x:c>
      <x:c r="U18" s="14" t="str">
        <x:f>TEXT(B18,"dddd")</x:f>
        <x:v>Friday</x:v>
      </x:c>
      <x:c r="V18" s="14" t="str">
        <x:v>Complaint</x:v>
      </x:c>
      <x:c r="W18" s="14" t="str">
        <x:v>Yes</x:v>
      </x:c>
      <x:c r="X18" s="14" t="str">
        <x:v>text, entities.mentions</x:v>
      </x:c>
    </x:row>
    <x:row r="19">
      <x:c r="A19" s="14" t="str">
        <x:v>SM018</x:v>
      </x:c>
      <x:c r="B19" s="34" t="n">
        <x:v>46137.67361111111</x:v>
      </x:c>
      <x:c r="C19" s="14" t="str">
        <x:v>Original post</x:v>
      </x:c>
      <x:c r="D19" s="14" t="str">
        <x:v>CommBank</x:v>
      </x:c>
      <x:c r="E19" s="14" t="str">
        <x:v>50k+</x:v>
      </x:c>
      <x:c r="F19" s="14" t="str">
        <x:v>Travel tip: tell us before you go overseas and check card controls in the app before your first purchase.</x:v>
      </x:c>
      <x:c r="G19" s="14" t="str">
        <x:v>Card services</x:v>
      </x:c>
      <x:c r="H19" s="14" t="str">
        <x:v>Link</x:v>
      </x:c>
      <x:c r="I19" s="14" t="str">
        <x:v>#TravelMoney</x:v>
      </x:c>
      <x:c r="J19" s="14" t="str">
        <x:v>No</x:v>
      </x:c>
      <x:c r="K19" s="14" t="str">
        <x:v>Neutral</x:v>
      </x:c>
      <x:c r="L19" s="35" t="n">
        <x:v>0.24</x:v>
      </x:c>
      <x:c r="M19" s="36" t="n">
        <x:v>260</x:v>
      </x:c>
      <x:c r="N19" s="36" t="n">
        <x:v>34</x:v>
      </x:c>
      <x:c r="O19" s="36" t="n">
        <x:v>49</x:v>
      </x:c>
      <x:c r="P19" s="36" t="n">
        <x:v>7</x:v>
      </x:c>
      <x:c r="Q19" s="36" t="n">
        <x:v>74400</x:v>
      </x:c>
      <x:c r="R19" s="36" t="n">
        <x:v>1650</x:v>
      </x:c>
      <x:c r="S19" s="36" t="n">
        <x:f>SUM(M19:P19)+R19</x:f>
        <x:v>2000</x:v>
      </x:c>
      <x:c r="T19" s="37" t="n">
        <x:f>IFERROR(S19/Q19,0)</x:f>
        <x:v>0.026881720430107527</x:v>
      </x:c>
      <x:c r="U19" s="14" t="str">
        <x:f>TEXT(B19,"dddd")</x:f>
        <x:v>Saturday</x:v>
      </x:c>
      <x:c r="V19" s="14" t="str">
        <x:v>Educational content</x:v>
      </x:c>
      <x:c r="W19" s="14" t="str">
        <x:v>No</x:v>
      </x:c>
      <x:c r="X19" s="14" t="str">
        <x:v>text, entities.urls, public_metrics</x:v>
      </x:c>
    </x:row>
    <x:row r="20">
      <x:c r="A20" s="14" t="str">
        <x:v>SM019</x:v>
      </x:c>
      <x:c r="B20" s="34" t="n">
        <x:v>46137.72361111111</x:v>
      </x:c>
      <x:c r="C20" s="14" t="str">
        <x:v>Reply</x:v>
      </x:c>
      <x:c r="D20" s="14" t="str">
        <x:v>Customer</x:v>
      </x:c>
      <x:c r="E20" s="14" t="str">
        <x:v>0-500</x:v>
      </x:c>
      <x:c r="F20" s="14" t="str">
        <x:v>Can I still use Apple Pay if my physical card is blocked while travelling?</x:v>
      </x:c>
      <x:c r="G20" s="14" t="str">
        <x:v>Card services</x:v>
      </x:c>
      <x:c r="H20" s="14" t="str">
        <x:v>Text</x:v>
      </x:c>
      <x:c r="I20" s="14" t="str"/>
      <x:c r="J20" s="14" t="str">
        <x:v>Yes</x:v>
      </x:c>
      <x:c r="K20" s="14" t="str">
        <x:v>Neutral</x:v>
      </x:c>
      <x:c r="L20" s="35" t="n">
        <x:v>0.05</x:v>
      </x:c>
      <x:c r="M20" s="36" t="n">
        <x:v>9</x:v>
      </x:c>
      <x:c r="N20" s="36" t="n">
        <x:v>4</x:v>
      </x:c>
      <x:c r="O20" s="36" t="n">
        <x:v>1</x:v>
      </x:c>
      <x:c r="P20" s="36" t="n">
        <x:v>0</x:v>
      </x:c>
      <x:c r="Q20" s="36" t="n">
        <x:v>1050</x:v>
      </x:c>
      <x:c r="R20" s="36" t="n">
        <x:v>0</x:v>
      </x:c>
      <x:c r="S20" s="36" t="n">
        <x:f>SUM(M20:P20)+R20</x:f>
        <x:v>14</x:v>
      </x:c>
      <x:c r="T20" s="37" t="n">
        <x:f>IFERROR(S20/Q20,0)</x:f>
        <x:v>0.013333333333333334</x:v>
      </x:c>
      <x:c r="U20" s="14" t="str">
        <x:f>TEXT(B20,"dddd")</x:f>
        <x:v>Saturday</x:v>
      </x:c>
      <x:c r="V20" s="14" t="str">
        <x:v>Question</x:v>
      </x:c>
      <x:c r="W20" s="14" t="str">
        <x:v>Yes</x:v>
      </x:c>
      <x:c r="X20" s="14" t="str">
        <x:v>text, referenced_tweets</x:v>
      </x:c>
    </x:row>
    <x:row r="21">
      <x:c r="A21" s="14" t="str">
        <x:v>SM020</x:v>
      </x:c>
      <x:c r="B21" s="34" t="n">
        <x:v>46138.375</x:v>
      </x:c>
      <x:c r="C21" s="14" t="str">
        <x:v>Original post</x:v>
      </x:c>
      <x:c r="D21" s="14" t="str">
        <x:v>CommBank</x:v>
      </x:c>
      <x:c r="E21" s="14" t="str">
        <x:v>50k+</x:v>
      </x:c>
      <x:c r="F21" s="14" t="str">
        <x:v>Small business owners: join our free webinar on cash flow planning and preparing for quieter trading periods.</x:v>
      </x:c>
      <x:c r="G21" s="14" t="str">
        <x:v>Business banking</x:v>
      </x:c>
      <x:c r="H21" s="14" t="str">
        <x:v>Link</x:v>
      </x:c>
      <x:c r="I21" s="14" t="str">
        <x:v>#SmallBusiness #CashFlow</x:v>
      </x:c>
      <x:c r="J21" s="14" t="str">
        <x:v>No</x:v>
      </x:c>
      <x:c r="K21" s="14" t="str">
        <x:v>Positive</x:v>
      </x:c>
      <x:c r="L21" s="35" t="n">
        <x:v>0.48</x:v>
      </x:c>
      <x:c r="M21" s="36" t="n">
        <x:v>188</x:v>
      </x:c>
      <x:c r="N21" s="36" t="n">
        <x:v>17</x:v>
      </x:c>
      <x:c r="O21" s="36" t="n">
        <x:v>66</x:v>
      </x:c>
      <x:c r="P21" s="36" t="n">
        <x:v>3</x:v>
      </x:c>
      <x:c r="Q21" s="36" t="n">
        <x:v>54300</x:v>
      </x:c>
      <x:c r="R21" s="36" t="n">
        <x:v>2300</x:v>
      </x:c>
      <x:c r="S21" s="36" t="n">
        <x:f>SUM(M21:P21)+R21</x:f>
        <x:v>2574</x:v>
      </x:c>
      <x:c r="T21" s="37" t="n">
        <x:f>IFERROR(S21/Q21,0)</x:f>
        <x:v>0.04740331491712707</x:v>
      </x:c>
      <x:c r="U21" s="14" t="str">
        <x:f>TEXT(B21,"dddd")</x:f>
        <x:v>Sunday</x:v>
      </x:c>
      <x:c r="V21" s="14" t="str">
        <x:v>Campaign</x:v>
      </x:c>
      <x:c r="W21" s="14" t="str">
        <x:v>No</x:v>
      </x:c>
      <x:c r="X21" s="14" t="str">
        <x:v>text, entities.urls, public_metrics</x:v>
      </x:c>
    </x:row>
    <x:row r="22">
      <x:c r="A22" s="14" t="str">
        <x:v>SM021</x:v>
      </x:c>
      <x:c r="B22" s="34" t="n">
        <x:v>46139.32986111111</x:v>
      </x:c>
      <x:c r="C22" s="14" t="str">
        <x:v>Mention</x:v>
      </x:c>
      <x:c r="D22" s="14" t="str">
        <x:v>Business customer</x:v>
      </x:c>
      <x:c r="E22" s="14" t="str">
        <x:v>501-5k</x:v>
      </x:c>
      <x:c r="F22" s="14" t="str">
        <x:v>Would love more examples for seasonal businesses in the cash flow webinar. Retail is not the same as consulting.</x:v>
      </x:c>
      <x:c r="G22" s="14" t="str">
        <x:v>Business banking</x:v>
      </x:c>
      <x:c r="H22" s="14" t="str">
        <x:v>Text</x:v>
      </x:c>
      <x:c r="I22" s="14" t="str">
        <x:v>#SmallBusiness</x:v>
      </x:c>
      <x:c r="J22" s="14" t="str">
        <x:v>Yes</x:v>
      </x:c>
      <x:c r="K22" s="14" t="str">
        <x:v>Mixed</x:v>
      </x:c>
      <x:c r="L22" s="35" t="n">
        <x:v>0.12</x:v>
      </x:c>
      <x:c r="M22" s="36" t="n">
        <x:v>22</x:v>
      </x:c>
      <x:c r="N22" s="36" t="n">
        <x:v>5</x:v>
      </x:c>
      <x:c r="O22" s="36" t="n">
        <x:v>4</x:v>
      </x:c>
      <x:c r="P22" s="36" t="n">
        <x:v>0</x:v>
      </x:c>
      <x:c r="Q22" s="36" t="n">
        <x:v>1700</x:v>
      </x:c>
      <x:c r="R22" s="36" t="n">
        <x:v>0</x:v>
      </x:c>
      <x:c r="S22" s="36" t="n">
        <x:f>SUM(M22:P22)+R22</x:f>
        <x:v>31</x:v>
      </x:c>
      <x:c r="T22" s="37" t="n">
        <x:f>IFERROR(S22/Q22,0)</x:f>
        <x:v>0.018235294117647058</x:v>
      </x:c>
      <x:c r="U22" s="14" t="str">
        <x:f>TEXT(B22,"dddd")</x:f>
        <x:v>Monday</x:v>
      </x:c>
      <x:c r="V22" s="14" t="str">
        <x:v>Feature feedback</x:v>
      </x:c>
      <x:c r="W22" s="14" t="str">
        <x:v>No</x:v>
      </x:c>
      <x:c r="X22" s="14" t="str">
        <x:v>text, entities.hashtags, entities.mentions</x:v>
      </x:c>
    </x:row>
    <x:row r="23">
      <x:c r="A23" s="14" t="str">
        <x:v>SM022</x:v>
      </x:c>
      <x:c r="B23" s="34" t="n">
        <x:v>46140.510416666664</x:v>
      </x:c>
      <x:c r="C23" s="14" t="str">
        <x:v>Original post</x:v>
      </x:c>
      <x:c r="D23" s="14" t="str">
        <x:v>CommBank</x:v>
      </x:c>
      <x:c r="E23" s="14" t="str">
        <x:v>50k+</x:v>
      </x:c>
      <x:c r="F23" s="14" t="str">
        <x:v>We have added clearer transaction labels in the app to help you recognise subscriptions and recurring payments.</x:v>
      </x:c>
      <x:c r="G23" s="14" t="str">
        <x:v>Digital banking</x:v>
      </x:c>
      <x:c r="H23" s="14" t="str">
        <x:v>Text + image</x:v>
      </x:c>
      <x:c r="I23" s="14" t="str">
        <x:v>#CommBankApp</x:v>
      </x:c>
      <x:c r="J23" s="14" t="str">
        <x:v>No</x:v>
      </x:c>
      <x:c r="K23" s="14" t="str">
        <x:v>Positive</x:v>
      </x:c>
      <x:c r="L23" s="35" t="n">
        <x:v>0.55</x:v>
      </x:c>
      <x:c r="M23" s="36" t="n">
        <x:v>980</x:v>
      </x:c>
      <x:c r="N23" s="36" t="n">
        <x:v>104</x:v>
      </x:c>
      <x:c r="O23" s="36" t="n">
        <x:v>218</x:v>
      </x:c>
      <x:c r="P23" s="36" t="n">
        <x:v>26</x:v>
      </x:c>
      <x:c r="Q23" s="36" t="n">
        <x:v>142500</x:v>
      </x:c>
      <x:c r="R23" s="36" t="n">
        <x:v>6100</x:v>
      </x:c>
      <x:c r="S23" s="36" t="n">
        <x:f>SUM(M23:P23)+R23</x:f>
        <x:v>7428</x:v>
      </x:c>
      <x:c r="T23" s="37" t="n">
        <x:f>IFERROR(S23/Q23,0)</x:f>
        <x:v>0.05212631578947369</x:v>
      </x:c>
      <x:c r="U23" s="14" t="str">
        <x:f>TEXT(B23,"dddd")</x:f>
        <x:v>Tuesday</x:v>
      </x:c>
      <x:c r="V23" s="14" t="str">
        <x:v>Product update</x:v>
      </x:c>
      <x:c r="W23" s="14" t="str">
        <x:v>No</x:v>
      </x:c>
      <x:c r="X23" s="14" t="str">
        <x:v>text, public_metrics, attachments.media_keys</x:v>
      </x:c>
    </x:row>
    <x:row r="24">
      <x:c r="A24" s="14" t="str">
        <x:v>SM023</x:v>
      </x:c>
      <x:c r="B24" s="34" t="n">
        <x:v>46140.532638888886</x:v>
      </x:c>
      <x:c r="C24" s="14" t="str">
        <x:v>Reply</x:v>
      </x:c>
      <x:c r="D24" s="14" t="str">
        <x:v>Customer</x:v>
      </x:c>
      <x:c r="E24" s="14" t="str">
        <x:v>0-500</x:v>
      </x:c>
      <x:c r="F24" s="14" t="str">
        <x:v>Finally! I have been trying to work out what one of my monthly charges was for ages.</x:v>
      </x:c>
      <x:c r="G24" s="14" t="str">
        <x:v>Digital banking</x:v>
      </x:c>
      <x:c r="H24" s="14" t="str">
        <x:v>Text</x:v>
      </x:c>
      <x:c r="I24" s="14" t="str"/>
      <x:c r="J24" s="14" t="str">
        <x:v>Yes</x:v>
      </x:c>
      <x:c r="K24" s="14" t="str">
        <x:v>Positive</x:v>
      </x:c>
      <x:c r="L24" s="35" t="n">
        <x:v>0.64</x:v>
      </x:c>
      <x:c r="M24" s="36" t="n">
        <x:v>31</x:v>
      </x:c>
      <x:c r="N24" s="36" t="n">
        <x:v>2</x:v>
      </x:c>
      <x:c r="O24" s="36" t="n">
        <x:v>3</x:v>
      </x:c>
      <x:c r="P24" s="36" t="n">
        <x:v>0</x:v>
      </x:c>
      <x:c r="Q24" s="36" t="n">
        <x:v>1800</x:v>
      </x:c>
      <x:c r="R24" s="36" t="n">
        <x:v>0</x:v>
      </x:c>
      <x:c r="S24" s="36" t="n">
        <x:f>SUM(M24:P24)+R24</x:f>
        <x:v>36</x:v>
      </x:c>
      <x:c r="T24" s="37" t="n">
        <x:f>IFERROR(S24/Q24,0)</x:f>
        <x:v>0.02</x:v>
      </x:c>
      <x:c r="U24" s="14" t="str">
        <x:f>TEXT(B24,"dddd")</x:f>
        <x:v>Tuesday</x:v>
      </x:c>
      <x:c r="V24" s="14" t="str">
        <x:v>Praise</x:v>
      </x:c>
      <x:c r="W24" s="14" t="str">
        <x:v>No</x:v>
      </x:c>
      <x:c r="X24" s="14" t="str">
        <x:v>text, referenced_tweets</x:v>
      </x:c>
    </x:row>
    <x:row r="25">
      <x:c r="A25" s="14" t="str">
        <x:v>SM024</x:v>
      </x:c>
      <x:c r="B25" s="34" t="n">
        <x:v>46140.54513888889</x:v>
      </x:c>
      <x:c r="C25" s="14" t="str">
        <x:v>Reply</x:v>
      </x:c>
      <x:c r="D25" s="14" t="str">
        <x:v>Customer</x:v>
      </x:c>
      <x:c r="E25" s="14" t="str">
        <x:v>0-500</x:v>
      </x:c>
      <x:c r="F25" s="14" t="str">
        <x:v>Please add a way to rename merchants manually too. Some labels are still confusing.</x:v>
      </x:c>
      <x:c r="G25" s="14" t="str">
        <x:v>Digital banking</x:v>
      </x:c>
      <x:c r="H25" s="14" t="str">
        <x:v>Text</x:v>
      </x:c>
      <x:c r="I25" s="14" t="str"/>
      <x:c r="J25" s="14" t="str">
        <x:v>Yes</x:v>
      </x:c>
      <x:c r="K25" s="14" t="str">
        <x:v>Mixed</x:v>
      </x:c>
      <x:c r="L25" s="35" t="n">
        <x:v>0.08</x:v>
      </x:c>
      <x:c r="M25" s="36" t="n">
        <x:v>44</x:v>
      </x:c>
      <x:c r="N25" s="36" t="n">
        <x:v>7</x:v>
      </x:c>
      <x:c r="O25" s="36" t="n">
        <x:v>5</x:v>
      </x:c>
      <x:c r="P25" s="36" t="n">
        <x:v>1</x:v>
      </x:c>
      <x:c r="Q25" s="36" t="n">
        <x:v>2600</x:v>
      </x:c>
      <x:c r="R25" s="36" t="n">
        <x:v>0</x:v>
      </x:c>
      <x:c r="S25" s="36" t="n">
        <x:f>SUM(M25:P25)+R25</x:f>
        <x:v>57</x:v>
      </x:c>
      <x:c r="T25" s="37" t="n">
        <x:f>IFERROR(S25/Q25,0)</x:f>
        <x:v>0.021923076923076924</x:v>
      </x:c>
      <x:c r="U25" s="14" t="str">
        <x:f>TEXT(B25,"dddd")</x:f>
        <x:v>Tuesday</x:v>
      </x:c>
      <x:c r="V25" s="14" t="str">
        <x:v>Feature feedback</x:v>
      </x:c>
      <x:c r="W25" s="14" t="str">
        <x:v>No</x:v>
      </x:c>
      <x:c r="X25" s="14" t="str">
        <x:v>text, referenced_tweets, public_metrics</x:v>
      </x:c>
    </x:row>
    <x:row r="26">
      <x:c r="A26" s="14" t="str">
        <x:v>SM025</x:v>
      </x:c>
      <x:c r="B26" s="34" t="n">
        <x:v>46141.8125</x:v>
      </x:c>
      <x:c r="C26" s="14" t="str">
        <x:v>Mention</x:v>
      </x:c>
      <x:c r="D26" s="14" t="str">
        <x:v>Customer</x:v>
      </x:c>
      <x:c r="E26" s="14" t="str">
        <x:v>0-500</x:v>
      </x:c>
      <x:c r="F26" s="14" t="str">
        <x:v>ATM near my station has been out of service twice this week. Any update?</x:v>
      </x:c>
      <x:c r="G26" s="14" t="str">
        <x:v>Branch/ATM</x:v>
      </x:c>
      <x:c r="H26" s="14" t="str">
        <x:v>Text</x:v>
      </x:c>
      <x:c r="I26" s="14" t="str"/>
      <x:c r="J26" s="14" t="str">
        <x:v>Yes</x:v>
      </x:c>
      <x:c r="K26" s="14" t="str">
        <x:v>Negative</x:v>
      </x:c>
      <x:c r="L26" s="35" t="n">
        <x:v>-0.58</x:v>
      </x:c>
      <x:c r="M26" s="36" t="n">
        <x:v>12</x:v>
      </x:c>
      <x:c r="N26" s="36" t="n">
        <x:v>8</x:v>
      </x:c>
      <x:c r="O26" s="36" t="n">
        <x:v>1</x:v>
      </x:c>
      <x:c r="P26" s="36" t="n">
        <x:v>0</x:v>
      </x:c>
      <x:c r="Q26" s="36" t="n">
        <x:v>1400</x:v>
      </x:c>
      <x:c r="R26" s="36" t="n">
        <x:v>0</x:v>
      </x:c>
      <x:c r="S26" s="36" t="n">
        <x:f>SUM(M26:P26)+R26</x:f>
        <x:v>21</x:v>
      </x:c>
      <x:c r="T26" s="37" t="n">
        <x:f>IFERROR(S26/Q26,0)</x:f>
        <x:v>0.015</x:v>
      </x:c>
      <x:c r="U26" s="14" t="str">
        <x:f>TEXT(B26,"dddd")</x:f>
        <x:v>Wednesday</x:v>
      </x:c>
      <x:c r="V26" s="14" t="str">
        <x:v>Question</x:v>
      </x:c>
      <x:c r="W26" s="14" t="str">
        <x:v>Yes</x:v>
      </x:c>
      <x:c r="X26" s="14" t="str">
        <x:v>text, entities.mentions, created_at</x:v>
      </x:c>
    </x:row>
    <x:row r="27">
      <x:c r="A27" s="14" t="str">
        <x:v>SM026</x:v>
      </x:c>
      <x:c r="B27" s="34" t="n">
        <x:v>46143.37847222222</x:v>
      </x:c>
      <x:c r="C27" s="14" t="str">
        <x:v>Original post</x:v>
      </x:c>
      <x:c r="D27" s="14" t="str">
        <x:v>CommBank</x:v>
      </x:c>
      <x:c r="E27" s="14" t="str">
        <x:v>50k+</x:v>
      </x:c>
      <x:c r="F27" s="14" t="str">
        <x:v>Start the month by checking subscriptions you no longer use. Small recurring payments can add up quickly.</x:v>
      </x:c>
      <x:c r="G27" s="14" t="str">
        <x:v>Financial wellbeing</x:v>
      </x:c>
      <x:c r="H27" s="14" t="str">
        <x:v>Text + image</x:v>
      </x:c>
      <x:c r="I27" s="14" t="str">
        <x:v>#MoneyTips</x:v>
      </x:c>
      <x:c r="J27" s="14" t="str">
        <x:v>No</x:v>
      </x:c>
      <x:c r="K27" s="14" t="str">
        <x:v>Positive</x:v>
      </x:c>
      <x:c r="L27" s="35" t="n">
        <x:v>0.51</x:v>
      </x:c>
      <x:c r="M27" s="36" t="n">
        <x:v>760</x:v>
      </x:c>
      <x:c r="N27" s="36" t="n">
        <x:v>38</x:v>
      </x:c>
      <x:c r="O27" s="36" t="n">
        <x:v>160</x:v>
      </x:c>
      <x:c r="P27" s="36" t="n">
        <x:v>13</x:v>
      </x:c>
      <x:c r="Q27" s="36" t="n">
        <x:v>100400</x:v>
      </x:c>
      <x:c r="R27" s="36" t="n">
        <x:v>4800</x:v>
      </x:c>
      <x:c r="S27" s="36" t="n">
        <x:f>SUM(M27:P27)+R27</x:f>
        <x:v>5771</x:v>
      </x:c>
      <x:c r="T27" s="37" t="n">
        <x:f>IFERROR(S27/Q27,0)</x:f>
        <x:v>0.0574800796812749</x:v>
      </x:c>
      <x:c r="U27" s="14" t="str">
        <x:f>TEXT(B27,"dddd")</x:f>
        <x:v>Friday</x:v>
      </x:c>
      <x:c r="V27" s="14" t="str">
        <x:v>Educational content</x:v>
      </x:c>
      <x:c r="W27" s="14" t="str">
        <x:v>No</x:v>
      </x:c>
      <x:c r="X27" s="14" t="str">
        <x:v>text, created_at, public_metrics</x:v>
      </x:c>
    </x:row>
    <x:row r="28">
      <x:c r="A28" s="14" t="str">
        <x:v>SM027</x:v>
      </x:c>
      <x:c r="B28" s="34" t="n">
        <x:v>46144.425</x:v>
      </x:c>
      <x:c r="C28" s="14" t="str">
        <x:v>Mention</x:v>
      </x:c>
      <x:c r="D28" s="14" t="str">
        <x:v>Customer</x:v>
      </x:c>
      <x:c r="E28" s="14" t="str">
        <x:v>501-5k</x:v>
      </x:c>
      <x:c r="F28" s="14" t="str">
        <x:v>The new transaction labels are helpful, but my rent payment is now showing as entertainment, which is... optimistic.</x:v>
      </x:c>
      <x:c r="G28" s="14" t="str">
        <x:v>Digital banking</x:v>
      </x:c>
      <x:c r="H28" s="14" t="str">
        <x:v>Text</x:v>
      </x:c>
      <x:c r="I28" s="14" t="str"/>
      <x:c r="J28" s="14" t="str">
        <x:v>Yes</x:v>
      </x:c>
      <x:c r="K28" s="14" t="str">
        <x:v>Mixed</x:v>
      </x:c>
      <x:c r="L28" s="35" t="n">
        <x:v>-0.05</x:v>
      </x:c>
      <x:c r="M28" s="36" t="n">
        <x:v>105</x:v>
      </x:c>
      <x:c r="N28" s="36" t="n">
        <x:v>11</x:v>
      </x:c>
      <x:c r="O28" s="36" t="n">
        <x:v>14</x:v>
      </x:c>
      <x:c r="P28" s="36" t="n">
        <x:v>2</x:v>
      </x:c>
      <x:c r="Q28" s="36" t="n">
        <x:v>9800</x:v>
      </x:c>
      <x:c r="R28" s="36" t="n">
        <x:v>0</x:v>
      </x:c>
      <x:c r="S28" s="36" t="n">
        <x:f>SUM(M28:P28)+R28</x:f>
        <x:v>132</x:v>
      </x:c>
      <x:c r="T28" s="37" t="n">
        <x:f>IFERROR(S28/Q28,0)</x:f>
        <x:v>0.013469387755102041</x:v>
      </x:c>
      <x:c r="U28" s="14" t="str">
        <x:f>TEXT(B28,"dddd")</x:f>
        <x:v>Saturday</x:v>
      </x:c>
      <x:c r="V28" s="14" t="str">
        <x:v>Feature feedback</x:v>
      </x:c>
      <x:c r="W28" s="14" t="str">
        <x:v>No</x:v>
      </x:c>
      <x:c r="X28" s="14" t="str">
        <x:v>text, entities.mentions</x:v>
      </x:c>
    </x:row>
    <x:row r="29">
      <x:c r="A29" s="14" t="str">
        <x:v>SM028</x:v>
      </x:c>
      <x:c r="B29" s="34" t="n">
        <x:v>46145.555555555555</x:v>
      </x:c>
      <x:c r="C29" s="14" t="str">
        <x:v>Original post</x:v>
      </x:c>
      <x:c r="D29" s="14" t="str">
        <x:v>CommBank</x:v>
      </x:c>
      <x:c r="E29" s="14" t="str">
        <x:v>50k+</x:v>
      </x:c>
      <x:c r="F29" s="14" t="str">
        <x:v>If you are buying online, use secure payment options and be cautious of sellers asking to move the conversation off-platform.</x:v>
      </x:c>
      <x:c r="G29" s="14" t="str">
        <x:v>Fraud &amp; scams</x:v>
      </x:c>
      <x:c r="H29" s="14" t="str">
        <x:v>Text + video</x:v>
      </x:c>
      <x:c r="I29" s="14" t="str">
        <x:v>#OnlineSafety #ScamAwareness</x:v>
      </x:c>
      <x:c r="J29" s="14" t="str">
        <x:v>No</x:v>
      </x:c>
      <x:c r="K29" s="14" t="str">
        <x:v>Neutral</x:v>
      </x:c>
      <x:c r="L29" s="35" t="n">
        <x:v>0.2</x:v>
      </x:c>
      <x:c r="M29" s="36" t="n">
        <x:v>520</x:v>
      </x:c>
      <x:c r="N29" s="36" t="n">
        <x:v>44</x:v>
      </x:c>
      <x:c r="O29" s="36" t="n">
        <x:v>205</x:v>
      </x:c>
      <x:c r="P29" s="36" t="n">
        <x:v>15</x:v>
      </x:c>
      <x:c r="Q29" s="36" t="n">
        <x:v>132000</x:v>
      </x:c>
      <x:c r="R29" s="36" t="n">
        <x:v>6900</x:v>
      </x:c>
      <x:c r="S29" s="36" t="n">
        <x:f>SUM(M29:P29)+R29</x:f>
        <x:v>7684</x:v>
      </x:c>
      <x:c r="T29" s="37" t="n">
        <x:f>IFERROR(S29/Q29,0)</x:f>
        <x:v>0.058212121212121215</x:v>
      </x:c>
      <x:c r="U29" s="14" t="str">
        <x:f>TEXT(B29,"dddd")</x:f>
        <x:v>Sunday</x:v>
      </x:c>
      <x:c r="V29" s="14" t="str">
        <x:v>Educational content</x:v>
      </x:c>
      <x:c r="W29" s="14" t="str">
        <x:v>No</x:v>
      </x:c>
      <x:c r="X29" s="14" t="str">
        <x:v>text, attachments.media_keys, entities.hashtags</x:v>
      </x:c>
    </x:row>
    <x:row r="30">
      <x:c r="A30" s="14" t="str">
        <x:v>SM029</x:v>
      </x:c>
      <x:c r="B30" s="34" t="n">
        <x:v>46145.58888888889</x:v>
      </x:c>
      <x:c r="C30" s="14" t="str">
        <x:v>Reply</x:v>
      </x:c>
      <x:c r="D30" s="14" t="str">
        <x:v>Customer</x:v>
      </x:c>
      <x:c r="E30" s="14" t="str">
        <x:v>0-500</x:v>
      </x:c>
      <x:c r="F30" s="14" t="str">
        <x:v>This happened to me on a marketplace sale. A checklist would be really helpful.</x:v>
      </x:c>
      <x:c r="G30" s="14" t="str">
        <x:v>Fraud &amp; scams</x:v>
      </x:c>
      <x:c r="H30" s="14" t="str">
        <x:v>Text</x:v>
      </x:c>
      <x:c r="I30" s="14" t="str"/>
      <x:c r="J30" s="14" t="str">
        <x:v>Yes</x:v>
      </x:c>
      <x:c r="K30" s="14" t="str">
        <x:v>Mixed</x:v>
      </x:c>
      <x:c r="L30" s="35" t="n">
        <x:v>-0.1</x:v>
      </x:c>
      <x:c r="M30" s="36" t="n">
        <x:v>21</x:v>
      </x:c>
      <x:c r="N30" s="36" t="n">
        <x:v>3</x:v>
      </x:c>
      <x:c r="O30" s="36" t="n">
        <x:v>2</x:v>
      </x:c>
      <x:c r="P30" s="36" t="n">
        <x:v>0</x:v>
      </x:c>
      <x:c r="Q30" s="36" t="n">
        <x:v>1150</x:v>
      </x:c>
      <x:c r="R30" s="36" t="n">
        <x:v>0</x:v>
      </x:c>
      <x:c r="S30" s="36" t="n">
        <x:f>SUM(M30:P30)+R30</x:f>
        <x:v>26</x:v>
      </x:c>
      <x:c r="T30" s="37" t="n">
        <x:f>IFERROR(S30/Q30,0)</x:f>
        <x:v>0.022608695652173914</x:v>
      </x:c>
      <x:c r="U30" s="14" t="str">
        <x:f>TEXT(B30,"dddd")</x:f>
        <x:v>Sunday</x:v>
      </x:c>
      <x:c r="V30" s="14" t="str">
        <x:v>Feature feedback</x:v>
      </x:c>
      <x:c r="W30" s="14" t="str">
        <x:v>No</x:v>
      </x:c>
      <x:c r="X30" s="14" t="str">
        <x:v>text, referenced_tweets</x:v>
      </x:c>
    </x:row>
    <x:row r="31">
      <x:c r="A31" s="14" t="str">
        <x:v>SM030</x:v>
      </x:c>
      <x:c r="B31" s="34" t="n">
        <x:v>46146.364583333336</x:v>
      </x:c>
      <x:c r="C31" s="14" t="str">
        <x:v>Mention</x:v>
      </x:c>
      <x:c r="D31" s="14" t="str">
        <x:v>Customer</x:v>
      </x:c>
      <x:c r="E31" s="14" t="str">
        <x:v>0-500</x:v>
      </x:c>
      <x:c r="F31" s="14" t="str">
        <x:v>Locked out of NetBank after changing phones. The recovery steps are not clear.</x:v>
      </x:c>
      <x:c r="G31" s="14" t="str">
        <x:v>Digital banking</x:v>
      </x:c>
      <x:c r="H31" s="14" t="str">
        <x:v>Text</x:v>
      </x:c>
      <x:c r="I31" s="14" t="str"/>
      <x:c r="J31" s="14" t="str">
        <x:v>Yes</x:v>
      </x:c>
      <x:c r="K31" s="14" t="str">
        <x:v>Negative</x:v>
      </x:c>
      <x:c r="L31" s="35" t="n">
        <x:v>-0.69</x:v>
      </x:c>
      <x:c r="M31" s="36" t="n">
        <x:v>39</x:v>
      </x:c>
      <x:c r="N31" s="36" t="n">
        <x:v>15</x:v>
      </x:c>
      <x:c r="O31" s="36" t="n">
        <x:v>4</x:v>
      </x:c>
      <x:c r="P31" s="36" t="n">
        <x:v>1</x:v>
      </x:c>
      <x:c r="Q31" s="36" t="n">
        <x:v>4300</x:v>
      </x:c>
      <x:c r="R31" s="36" t="n">
        <x:v>0</x:v>
      </x:c>
      <x:c r="S31" s="36" t="n">
        <x:f>SUM(M31:P31)+R31</x:f>
        <x:v>59</x:v>
      </x:c>
      <x:c r="T31" s="37" t="n">
        <x:f>IFERROR(S31/Q31,0)</x:f>
        <x:v>0.01372093023255814</x:v>
      </x:c>
      <x:c r="U31" s="14" t="str">
        <x:f>TEXT(B31,"dddd")</x:f>
        <x:v>Monday</x:v>
      </x:c>
      <x:c r="V31" s="14" t="str">
        <x:v>Complaint</x:v>
      </x:c>
      <x:c r="W31" s="14" t="str">
        <x:v>Yes</x:v>
      </x:c>
      <x:c r="X31" s="14" t="str">
        <x:v>text, entities.mentions</x:v>
      </x:c>
    </x:row>
    <x:row r="32">
      <x:c r="A32" s="14" t="str">
        <x:v>SM031</x:v>
      </x:c>
      <x:c r="B32" s="34" t="n">
        <x:v>46147.458333333336</x:v>
      </x:c>
      <x:c r="C32" s="14" t="str">
        <x:v>Original post</x:v>
      </x:c>
      <x:c r="D32" s="14" t="str">
        <x:v>CommBank</x:v>
      </x:c>
      <x:c r="E32" s="14" t="str">
        <x:v>50k+</x:v>
      </x:c>
      <x:c r="F32" s="14" t="str">
        <x:v>Today we are sharing practical tips for protecting older family members from impersonation scams.</x:v>
      </x:c>
      <x:c r="G32" s="14" t="str">
        <x:v>Fraud &amp; scams</x:v>
      </x:c>
      <x:c r="H32" s="14" t="str">
        <x:v>Link</x:v>
      </x:c>
      <x:c r="I32" s="14" t="str">
        <x:v>#ScamAwareness #FamilySafety</x:v>
      </x:c>
      <x:c r="J32" s="14" t="str">
        <x:v>No</x:v>
      </x:c>
      <x:c r="K32" s="14" t="str">
        <x:v>Positive</x:v>
      </x:c>
      <x:c r="L32" s="35" t="n">
        <x:v>0.42</x:v>
      </x:c>
      <x:c r="M32" s="36" t="n">
        <x:v>900</x:v>
      </x:c>
      <x:c r="N32" s="36" t="n">
        <x:v>82</x:v>
      </x:c>
      <x:c r="O32" s="36" t="n">
        <x:v>360</x:v>
      </x:c>
      <x:c r="P32" s="36" t="n">
        <x:v>33</x:v>
      </x:c>
      <x:c r="Q32" s="36" t="n">
        <x:v>170000</x:v>
      </x:c>
      <x:c r="R32" s="36" t="n">
        <x:v>8900</x:v>
      </x:c>
      <x:c r="S32" s="36" t="n">
        <x:f>SUM(M32:P32)+R32</x:f>
        <x:v>10275</x:v>
      </x:c>
      <x:c r="T32" s="37" t="n">
        <x:f>IFERROR(S32/Q32,0)</x:f>
        <x:v>0.060441176470588234</x:v>
      </x:c>
      <x:c r="U32" s="14" t="str">
        <x:f>TEXT(B32,"dddd")</x:f>
        <x:v>Tuesday</x:v>
      </x:c>
      <x:c r="V32" s="14" t="str">
        <x:v>Educational content</x:v>
      </x:c>
      <x:c r="W32" s="14" t="str">
        <x:v>No</x:v>
      </x:c>
      <x:c r="X32" s="14" t="str">
        <x:v>text, entities.urls, public_metrics</x:v>
      </x:c>
    </x:row>
    <x:row r="33">
      <x:c r="A33" s="14" t="str">
        <x:v>SM032</x:v>
      </x:c>
      <x:c r="B33" s="34" t="n">
        <x:v>46147.501388888886</x:v>
      </x:c>
      <x:c r="C33" s="14" t="str">
        <x:v>Quote post</x:v>
      </x:c>
      <x:c r="D33" s="14" t="str">
        <x:v>News/media</x:v>
      </x:c>
      <x:c r="E33" s="14" t="str">
        <x:v>50k+</x:v>
      </x:c>
      <x:c r="F33" s="14" t="str">
        <x:v>Useful consumer safety advice from @CommBank as impersonation scams continue to target older Australians.</x:v>
      </x:c>
      <x:c r="G33" s="14" t="str">
        <x:v>Fraud &amp; scams</x:v>
      </x:c>
      <x:c r="H33" s="14" t="str">
        <x:v>Text</x:v>
      </x:c>
      <x:c r="I33" s="14" t="str">
        <x:v>#ScamAwareness</x:v>
      </x:c>
      <x:c r="J33" s="14" t="str">
        <x:v>Yes</x:v>
      </x:c>
      <x:c r="K33" s="14" t="str">
        <x:v>Positive</x:v>
      </x:c>
      <x:c r="L33" s="35" t="n">
        <x:v>0.45</x:v>
      </x:c>
      <x:c r="M33" s="36" t="n">
        <x:v>230</x:v>
      </x:c>
      <x:c r="N33" s="36" t="n">
        <x:v>18</x:v>
      </x:c>
      <x:c r="O33" s="36" t="n">
        <x:v>71</x:v>
      </x:c>
      <x:c r="P33" s="36" t="n">
        <x:v>9</x:v>
      </x:c>
      <x:c r="Q33" s="36" t="n">
        <x:v>31000</x:v>
      </x:c>
      <x:c r="R33" s="36" t="n">
        <x:v>0</x:v>
      </x:c>
      <x:c r="S33" s="36" t="n">
        <x:f>SUM(M33:P33)+R33</x:f>
        <x:v>328</x:v>
      </x:c>
      <x:c r="T33" s="37" t="n">
        <x:f>IFERROR(S33/Q33,0)</x:f>
        <x:v>0.010580645161290323</x:v>
      </x:c>
      <x:c r="U33" s="14" t="str">
        <x:f>TEXT(B33,"dddd")</x:f>
        <x:v>Tuesday</x:v>
      </x:c>
      <x:c r="V33" s="14" t="str">
        <x:v>News/update</x:v>
      </x:c>
      <x:c r="W33" s="14" t="str">
        <x:v>No</x:v>
      </x:c>
      <x:c r="X33" s="14" t="str">
        <x:v>text, referenced_tweets, public_metrics</x:v>
      </x:c>
    </x:row>
    <x:row r="34">
      <x:c r="A34" s="14" t="str">
        <x:v>SM033</x:v>
      </x:c>
      <x:c r="B34" s="34" t="n">
        <x:v>46148.69097222222</x:v>
      </x:c>
      <x:c r="C34" s="14" t="str">
        <x:v>Original post</x:v>
      </x:c>
      <x:c r="D34" s="14" t="str">
        <x:v>CommBank</x:v>
      </x:c>
      <x:c r="E34" s="14" t="str">
        <x:v>50k+</x:v>
      </x:c>
      <x:c r="F34" s="14" t="str">
        <x:v>We are trialling new in-app prompts that ask customers to pause before sending money to a first-time payee.</x:v>
      </x:c>
      <x:c r="G34" s="14" t="str">
        <x:v>Security education</x:v>
      </x:c>
      <x:c r="H34" s="14" t="str">
        <x:v>Text + image</x:v>
      </x:c>
      <x:c r="I34" s="14" t="str">
        <x:v>#CyberSafety</x:v>
      </x:c>
      <x:c r="J34" s="14" t="str">
        <x:v>No</x:v>
      </x:c>
      <x:c r="K34" s="14" t="str">
        <x:v>Positive</x:v>
      </x:c>
      <x:c r="L34" s="35" t="n">
        <x:v>0.4</x:v>
      </x:c>
      <x:c r="M34" s="36" t="n">
        <x:v>480</x:v>
      </x:c>
      <x:c r="N34" s="36" t="n">
        <x:v>93</x:v>
      </x:c>
      <x:c r="O34" s="36" t="n">
        <x:v>156</x:v>
      </x:c>
      <x:c r="P34" s="36" t="n">
        <x:v>24</x:v>
      </x:c>
      <x:c r="Q34" s="36" t="n">
        <x:v>124000</x:v>
      </x:c>
      <x:c r="R34" s="36" t="n">
        <x:v>4100</x:v>
      </x:c>
      <x:c r="S34" s="36" t="n">
        <x:f>SUM(M34:P34)+R34</x:f>
        <x:v>4853</x:v>
      </x:c>
      <x:c r="T34" s="37" t="n">
        <x:f>IFERROR(S34/Q34,0)</x:f>
        <x:v>0.039137096774193546</x:v>
      </x:c>
      <x:c r="U34" s="14" t="str">
        <x:f>TEXT(B34,"dddd")</x:f>
        <x:v>Wednesday</x:v>
      </x:c>
      <x:c r="V34" s="14" t="str">
        <x:v>Product update</x:v>
      </x:c>
      <x:c r="W34" s="14" t="str">
        <x:v>No</x:v>
      </x:c>
      <x:c r="X34" s="14" t="str">
        <x:v>text, public_metrics, attachments.media_keys</x:v>
      </x:c>
    </x:row>
    <x:row r="35">
      <x:c r="A35" s="14" t="str">
        <x:v>SM034</x:v>
      </x:c>
      <x:c r="B35" s="34" t="n">
        <x:v>46148.71597222222</x:v>
      </x:c>
      <x:c r="C35" s="14" t="str">
        <x:v>Reply</x:v>
      </x:c>
      <x:c r="D35" s="14" t="str">
        <x:v>Customer</x:v>
      </x:c>
      <x:c r="E35" s="14" t="str">
        <x:v>0-500</x:v>
      </x:c>
      <x:c r="F35" s="14" t="str">
        <x:v>Good idea, but please make sure it does not slow down urgent transfers to family.</x:v>
      </x:c>
      <x:c r="G35" s="14" t="str">
        <x:v>Security education</x:v>
      </x:c>
      <x:c r="H35" s="14" t="str">
        <x:v>Text</x:v>
      </x:c>
      <x:c r="I35" s="14" t="str"/>
      <x:c r="J35" s="14" t="str">
        <x:v>Yes</x:v>
      </x:c>
      <x:c r="K35" s="14" t="str">
        <x:v>Mixed</x:v>
      </x:c>
      <x:c r="L35" s="35" t="n">
        <x:v>0.04</x:v>
      </x:c>
      <x:c r="M35" s="36" t="n">
        <x:v>34</x:v>
      </x:c>
      <x:c r="N35" s="36" t="n">
        <x:v>6</x:v>
      </x:c>
      <x:c r="O35" s="36" t="n">
        <x:v>2</x:v>
      </x:c>
      <x:c r="P35" s="36" t="n">
        <x:v>0</x:v>
      </x:c>
      <x:c r="Q35" s="36" t="n">
        <x:v>2100</x:v>
      </x:c>
      <x:c r="R35" s="36" t="n">
        <x:v>0</x:v>
      </x:c>
      <x:c r="S35" s="36" t="n">
        <x:f>SUM(M35:P35)+R35</x:f>
        <x:v>42</x:v>
      </x:c>
      <x:c r="T35" s="37" t="n">
        <x:f>IFERROR(S35/Q35,0)</x:f>
        <x:v>0.02</x:v>
      </x:c>
      <x:c r="U35" s="14" t="str">
        <x:f>TEXT(B35,"dddd")</x:f>
        <x:v>Wednesday</x:v>
      </x:c>
      <x:c r="V35" s="14" t="str">
        <x:v>Feature feedback</x:v>
      </x:c>
      <x:c r="W35" s="14" t="str">
        <x:v>No</x:v>
      </x:c>
      <x:c r="X35" s="14" t="str">
        <x:v>text, referenced_tweets</x:v>
      </x:c>
    </x:row>
    <x:row r="36">
      <x:c r="A36" s="14" t="str">
        <x:v>SM035</x:v>
      </x:c>
      <x:c r="B36" s="34" t="n">
        <x:v>46149.3125</x:v>
      </x:c>
      <x:c r="C36" s="14" t="str">
        <x:v>Mention</x:v>
      </x:c>
      <x:c r="D36" s="14" t="str">
        <x:v>Customer</x:v>
      </x:c>
      <x:c r="E36" s="14" t="str">
        <x:v>0-500</x:v>
      </x:c>
      <x:c r="F36" s="14" t="str">
        <x:v>Is PayID down? Two people have tried to pay me and both transfers are stuck.</x:v>
      </x:c>
      <x:c r="G36" s="14" t="str">
        <x:v>Outage/service issue</x:v>
      </x:c>
      <x:c r="H36" s="14" t="str">
        <x:v>Text</x:v>
      </x:c>
      <x:c r="I36" s="14" t="str">
        <x:v>#PayID</x:v>
      </x:c>
      <x:c r="J36" s="14" t="str">
        <x:v>Yes</x:v>
      </x:c>
      <x:c r="K36" s="14" t="str">
        <x:v>Negative</x:v>
      </x:c>
      <x:c r="L36" s="35" t="n">
        <x:v>-0.74</x:v>
      </x:c>
      <x:c r="M36" s="36" t="n">
        <x:v>52</x:v>
      </x:c>
      <x:c r="N36" s="36" t="n">
        <x:v>21</x:v>
      </x:c>
      <x:c r="O36" s="36" t="n">
        <x:v>8</x:v>
      </x:c>
      <x:c r="P36" s="36" t="n">
        <x:v>3</x:v>
      </x:c>
      <x:c r="Q36" s="36" t="n">
        <x:v>7700</x:v>
      </x:c>
      <x:c r="R36" s="36" t="n">
        <x:v>0</x:v>
      </x:c>
      <x:c r="S36" s="36" t="n">
        <x:f>SUM(M36:P36)+R36</x:f>
        <x:v>84</x:v>
      </x:c>
      <x:c r="T36" s="37" t="n">
        <x:f>IFERROR(S36/Q36,0)</x:f>
        <x:v>0.01090909090909091</x:v>
      </x:c>
      <x:c r="U36" s="14" t="str">
        <x:f>TEXT(B36,"dddd")</x:f>
        <x:v>Thursday</x:v>
      </x:c>
      <x:c r="V36" s="14" t="str">
        <x:v>Question</x:v>
      </x:c>
      <x:c r="W36" s="14" t="str">
        <x:v>Yes</x:v>
      </x:c>
      <x:c r="X36" s="14" t="str">
        <x:v>text, entities.hashtags, entities.mentions</x:v>
      </x:c>
    </x:row>
    <x:row r="37">
      <x:c r="A37" s="14" t="str">
        <x:v>SM036</x:v>
      </x:c>
      <x:c r="B37" s="34" t="n">
        <x:v>46149.33472222222</x:v>
      </x:c>
      <x:c r="C37" s="14" t="str">
        <x:v>Reply</x:v>
      </x:c>
      <x:c r="D37" s="14" t="str">
        <x:v>CommBank</x:v>
      </x:c>
      <x:c r="E37" s="14" t="str">
        <x:v>50k+</x:v>
      </x:c>
      <x:c r="F37" s="14" t="str">
        <x:v>We are aware some customers are seeing delays with PayID transfers and our teams are investigating. We will share updates as soon as possible.</x:v>
      </x:c>
      <x:c r="G37" s="14" t="str">
        <x:v>Outage/service issue</x:v>
      </x:c>
      <x:c r="H37" s="14" t="str">
        <x:v>Text</x:v>
      </x:c>
      <x:c r="I37" s="14" t="str">
        <x:v>#ServiceUpdate</x:v>
      </x:c>
      <x:c r="J37" s="14" t="str">
        <x:v>Yes</x:v>
      </x:c>
      <x:c r="K37" s="14" t="str">
        <x:v>Neutral</x:v>
      </x:c>
      <x:c r="L37" s="35" t="n">
        <x:v>0</x:v>
      </x:c>
      <x:c r="M37" s="36" t="n">
        <x:v>141</x:v>
      </x:c>
      <x:c r="N37" s="36" t="n">
        <x:v>47</x:v>
      </x:c>
      <x:c r="O37" s="36" t="n">
        <x:v>39</x:v>
      </x:c>
      <x:c r="P37" s="36" t="n">
        <x:v>12</x:v>
      </x:c>
      <x:c r="Q37" s="36" t="n">
        <x:v>21900</x:v>
      </x:c>
      <x:c r="R37" s="36" t="n">
        <x:v>0</x:v>
      </x:c>
      <x:c r="S37" s="36" t="n">
        <x:f>SUM(M37:P37)+R37</x:f>
        <x:v>239</x:v>
      </x:c>
      <x:c r="T37" s="37" t="n">
        <x:f>IFERROR(S37/Q37,0)</x:f>
        <x:v>0.01091324200913242</x:v>
      </x:c>
      <x:c r="U37" s="14" t="str">
        <x:f>TEXT(B37,"dddd")</x:f>
        <x:v>Thursday</x:v>
      </x:c>
      <x:c r="V37" s="14" t="str">
        <x:v>Customer support</x:v>
      </x:c>
      <x:c r="W37" s="14" t="str">
        <x:v>No</x:v>
      </x:c>
      <x:c r="X37" s="14" t="str">
        <x:v>text, conversation_id, public_metrics</x:v>
      </x:c>
    </x:row>
    <x:row r="38">
      <x:c r="A38" s="14" t="str">
        <x:v>SM037</x:v>
      </x:c>
      <x:c r="B38" s="34" t="n">
        <x:v>46151.43402777778</x:v>
      </x:c>
      <x:c r="C38" s="14" t="str">
        <x:v>Original post</x:v>
      </x:c>
      <x:c r="D38" s="14" t="str">
        <x:v>CommBank</x:v>
      </x:c>
      <x:c r="E38" s="14" t="str">
        <x:v>50k+</x:v>
      </x:c>
      <x:c r="F38" s="14" t="str">
        <x:v>Know the difference between available balance and current balance before making a large purchase.</x:v>
      </x:c>
      <x:c r="G38" s="14" t="str">
        <x:v>Financial wellbeing</x:v>
      </x:c>
      <x:c r="H38" s="14" t="str">
        <x:v>Text + image</x:v>
      </x:c>
      <x:c r="I38" s="14" t="str">
        <x:v>#MoneyTips #BankingBasics</x:v>
      </x:c>
      <x:c r="J38" s="14" t="str">
        <x:v>No</x:v>
      </x:c>
      <x:c r="K38" s="14" t="str">
        <x:v>Neutral</x:v>
      </x:c>
      <x:c r="L38" s="35" t="n">
        <x:v>0.25</x:v>
      </x:c>
      <x:c r="M38" s="36" t="n">
        <x:v>390</x:v>
      </x:c>
      <x:c r="N38" s="36" t="n">
        <x:v>29</x:v>
      </x:c>
      <x:c r="O38" s="36" t="n">
        <x:v>85</x:v>
      </x:c>
      <x:c r="P38" s="36" t="n">
        <x:v>4</x:v>
      </x:c>
      <x:c r="Q38" s="36" t="n">
        <x:v>90300</x:v>
      </x:c>
      <x:c r="R38" s="36" t="n">
        <x:v>2500</x:v>
      </x:c>
      <x:c r="S38" s="36" t="n">
        <x:f>SUM(M38:P38)+R38</x:f>
        <x:v>3008</x:v>
      </x:c>
      <x:c r="T38" s="37" t="n">
        <x:f>IFERROR(S38/Q38,0)</x:f>
        <x:v>0.033311184939091916</x:v>
      </x:c>
      <x:c r="U38" s="14" t="str">
        <x:f>TEXT(B38,"dddd")</x:f>
        <x:v>Saturday</x:v>
      </x:c>
      <x:c r="V38" s="14" t="str">
        <x:v>Educational content</x:v>
      </x:c>
      <x:c r="W38" s="14" t="str">
        <x:v>No</x:v>
      </x:c>
      <x:c r="X38" s="14" t="str">
        <x:v>text, entities.hashtags, public_metrics</x:v>
      </x:c>
    </x:row>
    <x:row r="39">
      <x:c r="A39" s="14" t="str">
        <x:v>SM038</x:v>
      </x:c>
      <x:c r="B39" s="34" t="n">
        <x:v>46152.78472222222</x:v>
      </x:c>
      <x:c r="C39" s="14" t="str">
        <x:v>Mention</x:v>
      </x:c>
      <x:c r="D39" s="14" t="str">
        <x:v>Customer</x:v>
      </x:c>
      <x:c r="E39" s="14" t="str">
        <x:v>0-500</x:v>
      </x:c>
      <x:c r="F39" s="14" t="str">
        <x:v>Just used the spend tracker for the first time and it was a wake-up call, in a good way.</x:v>
      </x:c>
      <x:c r="G39" s="14" t="str">
        <x:v>Financial wellbeing</x:v>
      </x:c>
      <x:c r="H39" s="14" t="str">
        <x:v>Text</x:v>
      </x:c>
      <x:c r="I39" s="14" t="str"/>
      <x:c r="J39" s="14" t="str">
        <x:v>Yes</x:v>
      </x:c>
      <x:c r="K39" s="14" t="str">
        <x:v>Positive</x:v>
      </x:c>
      <x:c r="L39" s="35" t="n">
        <x:v>0.79</x:v>
      </x:c>
      <x:c r="M39" s="36" t="n">
        <x:v>47</x:v>
      </x:c>
      <x:c r="N39" s="36" t="n">
        <x:v>2</x:v>
      </x:c>
      <x:c r="O39" s="36" t="n">
        <x:v>5</x:v>
      </x:c>
      <x:c r="P39" s="36" t="n">
        <x:v>0</x:v>
      </x:c>
      <x:c r="Q39" s="36" t="n">
        <x:v>2500</x:v>
      </x:c>
      <x:c r="R39" s="36" t="n">
        <x:v>0</x:v>
      </x:c>
      <x:c r="S39" s="36" t="n">
        <x:f>SUM(M39:P39)+R39</x:f>
        <x:v>54</x:v>
      </x:c>
      <x:c r="T39" s="37" t="n">
        <x:f>IFERROR(S39/Q39,0)</x:f>
        <x:v>0.0216</x:v>
      </x:c>
      <x:c r="U39" s="14" t="str">
        <x:f>TEXT(B39,"dddd")</x:f>
        <x:v>Sunday</x:v>
      </x:c>
      <x:c r="V39" s="14" t="str">
        <x:v>Praise</x:v>
      </x:c>
      <x:c r="W39" s="14" t="str">
        <x:v>No</x:v>
      </x:c>
      <x:c r="X39" s="14" t="str">
        <x:v>text, entities.mentions</x:v>
      </x:c>
    </x:row>
    <x:row r="40">
      <x:c r="A40" s="14" t="str">
        <x:v>SM039</x:v>
      </x:c>
      <x:c r="B40" s="34" t="n">
        <x:v>46154.385416666664</x:v>
      </x:c>
      <x:c r="C40" s="14" t="str">
        <x:v>Original post</x:v>
      </x:c>
      <x:c r="D40" s="14" t="str">
        <x:v>CommBank</x:v>
      </x:c>
      <x:c r="E40" s="14" t="str">
        <x:v>50k+</x:v>
      </x:c>
      <x:c r="F40" s="14" t="str">
        <x:v>Card controls can help if your card is misplaced. Temporarily lock, unlock or replace your card in the app.</x:v>
      </x:c>
      <x:c r="G40" s="14" t="str">
        <x:v>Card services</x:v>
      </x:c>
      <x:c r="H40" s="14" t="str">
        <x:v>Text + video</x:v>
      </x:c>
      <x:c r="I40" s="14" t="str">
        <x:v>#CommBankApp</x:v>
      </x:c>
      <x:c r="J40" s="14" t="str">
        <x:v>No</x:v>
      </x:c>
      <x:c r="K40" s="14" t="str">
        <x:v>Positive</x:v>
      </x:c>
      <x:c r="L40" s="35" t="n">
        <x:v>0.38</x:v>
      </x:c>
      <x:c r="M40" s="36" t="n">
        <x:v>670</x:v>
      </x:c>
      <x:c r="N40" s="36" t="n">
        <x:v>58</x:v>
      </x:c>
      <x:c r="O40" s="36" t="n">
        <x:v>142</x:v>
      </x:c>
      <x:c r="P40" s="36" t="n">
        <x:v>16</x:v>
      </x:c>
      <x:c r="Q40" s="36" t="n">
        <x:v>111000</x:v>
      </x:c>
      <x:c r="R40" s="36" t="n">
        <x:v>5300</x:v>
      </x:c>
      <x:c r="S40" s="36" t="n">
        <x:f>SUM(M40:P40)+R40</x:f>
        <x:v>6186</x:v>
      </x:c>
      <x:c r="T40" s="37" t="n">
        <x:f>IFERROR(S40/Q40,0)</x:f>
        <x:v>0.05572972972972973</x:v>
      </x:c>
      <x:c r="U40" s="14" t="str">
        <x:f>TEXT(B40,"dddd")</x:f>
        <x:v>Tuesday</x:v>
      </x:c>
      <x:c r="V40" s="14" t="str">
        <x:v>Educational content</x:v>
      </x:c>
      <x:c r="W40" s="14" t="str">
        <x:v>No</x:v>
      </x:c>
      <x:c r="X40" s="14" t="str">
        <x:v>text, attachments.media_keys, public_metrics</x:v>
      </x:c>
    </x:row>
    <x:row r="41">
      <x:c r="A41" s="14" t="str">
        <x:v>SM040</x:v>
      </x:c>
      <x:c r="B41" s="34" t="n">
        <x:v>46154.40972222222</x:v>
      </x:c>
      <x:c r="C41" s="14" t="str">
        <x:v>Reply</x:v>
      </x:c>
      <x:c r="D41" s="14" t="str">
        <x:v>Customer</x:v>
      </x:c>
      <x:c r="E41" s="14" t="str">
        <x:v>501-5k</x:v>
      </x:c>
      <x:c r="F41" s="14" t="str">
        <x:v>This saved me last month. Found the card under my car seat after locking it in the app.</x:v>
      </x:c>
      <x:c r="G41" s="14" t="str">
        <x:v>Card services</x:v>
      </x:c>
      <x:c r="H41" s="14" t="str">
        <x:v>Text</x:v>
      </x:c>
      <x:c r="I41" s="14" t="str"/>
      <x:c r="J41" s="14" t="str">
        <x:v>Yes</x:v>
      </x:c>
      <x:c r="K41" s="14" t="str">
        <x:v>Positive</x:v>
      </x:c>
      <x:c r="L41" s="35" t="n">
        <x:v>0.83</x:v>
      </x:c>
      <x:c r="M41" s="36" t="n">
        <x:v>89</x:v>
      </x:c>
      <x:c r="N41" s="36" t="n">
        <x:v>5</x:v>
      </x:c>
      <x:c r="O41" s="36" t="n">
        <x:v>9</x:v>
      </x:c>
      <x:c r="P41" s="36" t="n">
        <x:v>0</x:v>
      </x:c>
      <x:c r="Q41" s="36" t="n">
        <x:v>6000</x:v>
      </x:c>
      <x:c r="R41" s="36" t="n">
        <x:v>0</x:v>
      </x:c>
      <x:c r="S41" s="36" t="n">
        <x:f>SUM(M41:P41)+R41</x:f>
        <x:v>103</x:v>
      </x:c>
      <x:c r="T41" s="37" t="n">
        <x:f>IFERROR(S41/Q41,0)</x:f>
        <x:v>0.017166666666666667</x:v>
      </x:c>
      <x:c r="U41" s="14" t="str">
        <x:f>TEXT(B41,"dddd")</x:f>
        <x:v>Tuesday</x:v>
      </x:c>
      <x:c r="V41" s="14" t="str">
        <x:v>Praise</x:v>
      </x:c>
      <x:c r="W41" s="14" t="str">
        <x:v>No</x:v>
      </x:c>
      <x:c r="X41" s="14" t="str">
        <x:v>text, referenced_tweets</x:v>
      </x:c>
    </x:row>
    <x:row r="42">
      <x:c r="A42" s="14" t="str">
        <x:v>SM041</x:v>
      </x:c>
      <x:c r="B42" s="34" t="n">
        <x:v>46156.586805555555</x:v>
      </x:c>
      <x:c r="C42" s="14" t="str">
        <x:v>Original post</x:v>
      </x:c>
      <x:c r="D42" s="14" t="str">
        <x:v>CommBank</x:v>
      </x:c>
      <x:c r="E42" s="14" t="str">
        <x:v>50k+</x:v>
      </x:c>
      <x:c r="F42" s="14" t="str">
        <x:v>We are investing in energy efficiency upgrades across selected branches to reduce operational emissions.</x:v>
      </x:c>
      <x:c r="G42" s="14" t="str">
        <x:v>Sustainability</x:v>
      </x:c>
      <x:c r="H42" s="14" t="str">
        <x:v>Text + image</x:v>
      </x:c>
      <x:c r="I42" s="14" t="str">
        <x:v>#Sustainability</x:v>
      </x:c>
      <x:c r="J42" s="14" t="str">
        <x:v>No</x:v>
      </x:c>
      <x:c r="K42" s="14" t="str">
        <x:v>Positive</x:v>
      </x:c>
      <x:c r="L42" s="35" t="n">
        <x:v>0.32</x:v>
      </x:c>
      <x:c r="M42" s="36" t="n">
        <x:v>310</x:v>
      </x:c>
      <x:c r="N42" s="36" t="n">
        <x:v>112</x:v>
      </x:c>
      <x:c r="O42" s="36" t="n">
        <x:v>74</x:v>
      </x:c>
      <x:c r="P42" s="36" t="n">
        <x:v>18</x:v>
      </x:c>
      <x:c r="Q42" s="36" t="n">
        <x:v>98000</x:v>
      </x:c>
      <x:c r="R42" s="36" t="n">
        <x:v>1200</x:v>
      </x:c>
      <x:c r="S42" s="36" t="n">
        <x:f>SUM(M42:P42)+R42</x:f>
        <x:v>1714</x:v>
      </x:c>
      <x:c r="T42" s="37" t="n">
        <x:f>IFERROR(S42/Q42,0)</x:f>
        <x:v>0.017489795918367346</x:v>
      </x:c>
      <x:c r="U42" s="14" t="str">
        <x:f>TEXT(B42,"dddd")</x:f>
        <x:v>Thursday</x:v>
      </x:c>
      <x:c r="V42" s="14" t="str">
        <x:v>News/update</x:v>
      </x:c>
      <x:c r="W42" s="14" t="str">
        <x:v>No</x:v>
      </x:c>
      <x:c r="X42" s="14" t="str">
        <x:v>text, entities.hashtags, public_metrics</x:v>
      </x:c>
    </x:row>
    <x:row r="43">
      <x:c r="A43" s="14" t="str">
        <x:v>SM042</x:v>
      </x:c>
      <x:c r="B43" s="34" t="n">
        <x:v>46156.626388888886</x:v>
      </x:c>
      <x:c r="C43" s="14" t="str">
        <x:v>Reply</x:v>
      </x:c>
      <x:c r="D43" s="14" t="str">
        <x:v>Customer</x:v>
      </x:c>
      <x:c r="E43" s="14" t="str">
        <x:v>0-500</x:v>
      </x:c>
      <x:c r="F43" s="14" t="str">
        <x:v>Good, but customers also want greener lending options and clearer reporting.</x:v>
      </x:c>
      <x:c r="G43" s="14" t="str">
        <x:v>Sustainability</x:v>
      </x:c>
      <x:c r="H43" s="14" t="str">
        <x:v>Text</x:v>
      </x:c>
      <x:c r="I43" s="14" t="str"/>
      <x:c r="J43" s="14" t="str">
        <x:v>Yes</x:v>
      </x:c>
      <x:c r="K43" s="14" t="str">
        <x:v>Mixed</x:v>
      </x:c>
      <x:c r="L43" s="35" t="n">
        <x:v>0.02</x:v>
      </x:c>
      <x:c r="M43" s="36" t="n">
        <x:v>58</x:v>
      </x:c>
      <x:c r="N43" s="36" t="n">
        <x:v>8</x:v>
      </x:c>
      <x:c r="O43" s="36" t="n">
        <x:v>6</x:v>
      </x:c>
      <x:c r="P43" s="36" t="n">
        <x:v>1</x:v>
      </x:c>
      <x:c r="Q43" s="36" t="n">
        <x:v>3400</x:v>
      </x:c>
      <x:c r="R43" s="36" t="n">
        <x:v>0</x:v>
      </x:c>
      <x:c r="S43" s="36" t="n">
        <x:f>SUM(M43:P43)+R43</x:f>
        <x:v>73</x:v>
      </x:c>
      <x:c r="T43" s="37" t="n">
        <x:f>IFERROR(S43/Q43,0)</x:f>
        <x:v>0.021470588235294116</x:v>
      </x:c>
      <x:c r="U43" s="14" t="str">
        <x:f>TEXT(B43,"dddd")</x:f>
        <x:v>Thursday</x:v>
      </x:c>
      <x:c r="V43" s="14" t="str">
        <x:v>Feature feedback</x:v>
      </x:c>
      <x:c r="W43" s="14" t="str">
        <x:v>No</x:v>
      </x:c>
      <x:c r="X43" s="14" t="str">
        <x:v>text, referenced_tweets</x:v>
      </x:c>
    </x:row>
    <x:row r="44">
      <x:c r="A44" s="14" t="str">
        <x:v>SM043</x:v>
      </x:c>
      <x:c r="B44" s="34" t="n">
        <x:v>46158.48611111111</x:v>
      </x:c>
      <x:c r="C44" s="14" t="str">
        <x:v>Mention</x:v>
      </x:c>
      <x:c r="D44" s="14" t="str">
        <x:v>Customer</x:v>
      </x:c>
      <x:c r="E44" s="14" t="str">
        <x:v>0-500</x:v>
      </x:c>
      <x:c r="F44" s="14" t="str">
        <x:v>The ATM locator sent me to a branch that has moved. Please update the map.</x:v>
      </x:c>
      <x:c r="G44" s="14" t="str">
        <x:v>Branch/ATM</x:v>
      </x:c>
      <x:c r="H44" s="14" t="str">
        <x:v>Text</x:v>
      </x:c>
      <x:c r="I44" s="14" t="str"/>
      <x:c r="J44" s="14" t="str">
        <x:v>Yes</x:v>
      </x:c>
      <x:c r="K44" s="14" t="str">
        <x:v>Negative</x:v>
      </x:c>
      <x:c r="L44" s="35" t="n">
        <x:v>-0.62</x:v>
      </x:c>
      <x:c r="M44" s="36" t="n">
        <x:v>17</x:v>
      </x:c>
      <x:c r="N44" s="36" t="n">
        <x:v>6</x:v>
      </x:c>
      <x:c r="O44" s="36" t="n">
        <x:v>2</x:v>
      </x:c>
      <x:c r="P44" s="36" t="n">
        <x:v>0</x:v>
      </x:c>
      <x:c r="Q44" s="36" t="n">
        <x:v>1250</x:v>
      </x:c>
      <x:c r="R44" s="36" t="n">
        <x:v>0</x:v>
      </x:c>
      <x:c r="S44" s="36" t="n">
        <x:f>SUM(M44:P44)+R44</x:f>
        <x:v>25</x:v>
      </x:c>
      <x:c r="T44" s="37" t="n">
        <x:f>IFERROR(S44/Q44,0)</x:f>
        <x:v>0.02</x:v>
      </x:c>
      <x:c r="U44" s="14" t="str">
        <x:f>TEXT(B44,"dddd")</x:f>
        <x:v>Saturday</x:v>
      </x:c>
      <x:c r="V44" s="14" t="str">
        <x:v>Complaint</x:v>
      </x:c>
      <x:c r="W44" s="14" t="str">
        <x:v>Yes</x:v>
      </x:c>
      <x:c r="X44" s="14" t="str">
        <x:v>text, entities.mentions</x:v>
      </x:c>
    </x:row>
    <x:row r="45">
      <x:c r="A45" s="14" t="str">
        <x:v>SM044</x:v>
      </x:c>
      <x:c r="B45" s="34" t="n">
        <x:v>46160.37152777778</x:v>
      </x:c>
      <x:c r="C45" s="14" t="str">
        <x:v>Original post</x:v>
      </x:c>
      <x:c r="D45" s="14" t="str">
        <x:v>CommBank</x:v>
      </x:c>
      <x:c r="E45" s="14" t="str">
        <x:v>50k+</x:v>
      </x:c>
      <x:c r="F45" s="14" t="str">
        <x:v>Before tax time, check that your bank statements and interest summaries are easy to access in NetBank.</x:v>
      </x:c>
      <x:c r="G45" s="14" t="str">
        <x:v>Digital banking</x:v>
      </x:c>
      <x:c r="H45" s="14" t="str">
        <x:v>Link</x:v>
      </x:c>
      <x:c r="I45" s="14" t="str">
        <x:v>#TaxTime #NetBank</x:v>
      </x:c>
      <x:c r="J45" s="14" t="str">
        <x:v>No</x:v>
      </x:c>
      <x:c r="K45" s="14" t="str">
        <x:v>Neutral</x:v>
      </x:c>
      <x:c r="L45" s="35" t="n">
        <x:v>0.18</x:v>
      </x:c>
      <x:c r="M45" s="36" t="n">
        <x:v>240</x:v>
      </x:c>
      <x:c r="N45" s="36" t="n">
        <x:v>26</x:v>
      </x:c>
      <x:c r="O45" s="36" t="n">
        <x:v>58</x:v>
      </x:c>
      <x:c r="P45" s="36" t="n">
        <x:v>6</x:v>
      </x:c>
      <x:c r="Q45" s="36" t="n">
        <x:v>88000</x:v>
      </x:c>
      <x:c r="R45" s="36" t="n">
        <x:v>2100</x:v>
      </x:c>
      <x:c r="S45" s="36" t="n">
        <x:f>SUM(M45:P45)+R45</x:f>
        <x:v>2430</x:v>
      </x:c>
      <x:c r="T45" s="37" t="n">
        <x:f>IFERROR(S45/Q45,0)</x:f>
        <x:v>0.027613636363636365</x:v>
      </x:c>
      <x:c r="U45" s="14" t="str">
        <x:f>TEXT(B45,"dddd")</x:f>
        <x:v>Monday</x:v>
      </x:c>
      <x:c r="V45" s="14" t="str">
        <x:v>Educational content</x:v>
      </x:c>
      <x:c r="W45" s="14" t="str">
        <x:v>No</x:v>
      </x:c>
      <x:c r="X45" s="14" t="str">
        <x:v>text, entities.urls, public_metrics</x:v>
      </x:c>
    </x:row>
    <x:row r="46">
      <x:c r="A46" s="14" t="str">
        <x:v>SM045</x:v>
      </x:c>
      <x:c r="B46" s="34" t="n">
        <x:v>46161.79861111111</x:v>
      </x:c>
      <x:c r="C46" s="14" t="str">
        <x:v>Mention</x:v>
      </x:c>
      <x:c r="D46" s="14" t="str">
        <x:v>Customer</x:v>
      </x:c>
      <x:c r="E46" s="14" t="str">
        <x:v>0-500</x:v>
      </x:c>
      <x:c r="F46" s="14" t="str">
        <x:v>Trying to download statements and the page keeps refreshing. Anyone else?</x:v>
      </x:c>
      <x:c r="G46" s="14" t="str">
        <x:v>Digital banking</x:v>
      </x:c>
      <x:c r="H46" s="14" t="str">
        <x:v>Text</x:v>
      </x:c>
      <x:c r="I46" s="14" t="str">
        <x:v>#NetBank</x:v>
      </x:c>
      <x:c r="J46" s="14" t="str">
        <x:v>Yes</x:v>
      </x:c>
      <x:c r="K46" s="14" t="str">
        <x:v>Negative</x:v>
      </x:c>
      <x:c r="L46" s="35" t="n">
        <x:v>-0.57</x:v>
      </x:c>
      <x:c r="M46" s="36" t="n">
        <x:v>36</x:v>
      </x:c>
      <x:c r="N46" s="36" t="n">
        <x:v>13</x:v>
      </x:c>
      <x:c r="O46" s="36" t="n">
        <x:v>5</x:v>
      </x:c>
      <x:c r="P46" s="36" t="n">
        <x:v>1</x:v>
      </x:c>
      <x:c r="Q46" s="36" t="n">
        <x:v>4600</x:v>
      </x:c>
      <x:c r="R46" s="36" t="n">
        <x:v>0</x:v>
      </x:c>
      <x:c r="S46" s="36" t="n">
        <x:f>SUM(M46:P46)+R46</x:f>
        <x:v>55</x:v>
      </x:c>
      <x:c r="T46" s="37" t="n">
        <x:f>IFERROR(S46/Q46,0)</x:f>
        <x:v>0.011956521739130435</x:v>
      </x:c>
      <x:c r="U46" s="14" t="str">
        <x:f>TEXT(B46,"dddd")</x:f>
        <x:v>Tuesday</x:v>
      </x:c>
      <x:c r="V46" s="14" t="str">
        <x:v>Question</x:v>
      </x:c>
      <x:c r="W46" s="14" t="str">
        <x:v>Yes</x:v>
      </x:c>
      <x:c r="X46" s="14" t="str">
        <x:v>text, entities.hashtags, entities.mentions</x:v>
      </x:c>
    </x:row>
    <x:row r="47">
      <x:c r="A47" s="14" t="str">
        <x:v>SM046</x:v>
      </x:c>
      <x:c r="B47" s="34" t="n">
        <x:v>46163.541666666664</x:v>
      </x:c>
      <x:c r="C47" s="14" t="str">
        <x:v>Original post</x:v>
      </x:c>
      <x:c r="D47" s="14" t="str">
        <x:v>CommBank</x:v>
      </x:c>
      <x:c r="E47" s="14" t="str">
        <x:v>50k+</x:v>
      </x:c>
      <x:c r="F47" s="14" t="str">
        <x:v>Thinking about your first credit card? Compare fees, interest rates and repayment habits before applying.</x:v>
      </x:c>
      <x:c r="G47" s="14" t="str">
        <x:v>Financial wellbeing</x:v>
      </x:c>
      <x:c r="H47" s="14" t="str">
        <x:v>Link</x:v>
      </x:c>
      <x:c r="I47" s="14" t="str">
        <x:v>#BankingBasics #MoneyTips</x:v>
      </x:c>
      <x:c r="J47" s="14" t="str">
        <x:v>No</x:v>
      </x:c>
      <x:c r="K47" s="14" t="str">
        <x:v>Neutral</x:v>
      </x:c>
      <x:c r="L47" s="35" t="n">
        <x:v>0.2</x:v>
      </x:c>
      <x:c r="M47" s="36" t="n">
        <x:v>280</x:v>
      </x:c>
      <x:c r="N47" s="36" t="n">
        <x:v>37</x:v>
      </x:c>
      <x:c r="O47" s="36" t="n">
        <x:v>69</x:v>
      </x:c>
      <x:c r="P47" s="36" t="n">
        <x:v>9</x:v>
      </x:c>
      <x:c r="Q47" s="36" t="n">
        <x:v>79000</x:v>
      </x:c>
      <x:c r="R47" s="36" t="n">
        <x:v>3400</x:v>
      </x:c>
      <x:c r="S47" s="36" t="n">
        <x:f>SUM(M47:P47)+R47</x:f>
        <x:v>3795</x:v>
      </x:c>
      <x:c r="T47" s="37" t="n">
        <x:f>IFERROR(S47/Q47,0)</x:f>
        <x:v>0.0480379746835443</x:v>
      </x:c>
      <x:c r="U47" s="14" t="str">
        <x:f>TEXT(B47,"dddd")</x:f>
        <x:v>Thursday</x:v>
      </x:c>
      <x:c r="V47" s="14" t="str">
        <x:v>Educational content</x:v>
      </x:c>
      <x:c r="W47" s="14" t="str">
        <x:v>No</x:v>
      </x:c>
      <x:c r="X47" s="14" t="str">
        <x:v>text, entities.urls, public_metrics</x:v>
      </x:c>
    </x:row>
    <x:row r="48">
      <x:c r="A48" s="14" t="str">
        <x:v>SM047</x:v>
      </x:c>
      <x:c r="B48" s="34" t="n">
        <x:v>46164.4375</x:v>
      </x:c>
      <x:c r="C48" s="14" t="str">
        <x:v>Reply</x:v>
      </x:c>
      <x:c r="D48" s="14" t="str">
        <x:v>Customer</x:v>
      </x:c>
      <x:c r="E48" s="14" t="str">
        <x:v>0-500</x:v>
      </x:c>
      <x:c r="F48" s="14" t="str">
        <x:v>Can you make an explainer for students who are new to credit? The language is still intimidating.</x:v>
      </x:c>
      <x:c r="G48" s="14" t="str">
        <x:v>Financial wellbeing</x:v>
      </x:c>
      <x:c r="H48" s="14" t="str">
        <x:v>Text</x:v>
      </x:c>
      <x:c r="I48" s="14" t="str"/>
      <x:c r="J48" s="14" t="str">
        <x:v>Yes</x:v>
      </x:c>
      <x:c r="K48" s="14" t="str">
        <x:v>Neutral</x:v>
      </x:c>
      <x:c r="L48" s="35" t="n">
        <x:v>0.11</x:v>
      </x:c>
      <x:c r="M48" s="36" t="n">
        <x:v>23</x:v>
      </x:c>
      <x:c r="N48" s="36" t="n">
        <x:v>3</x:v>
      </x:c>
      <x:c r="O48" s="36" t="n">
        <x:v>3</x:v>
      </x:c>
      <x:c r="P48" s="36" t="n">
        <x:v>0</x:v>
      </x:c>
      <x:c r="Q48" s="36" t="n">
        <x:v>1600</x:v>
      </x:c>
      <x:c r="R48" s="36" t="n">
        <x:v>0</x:v>
      </x:c>
      <x:c r="S48" s="36" t="n">
        <x:f>SUM(M48:P48)+R48</x:f>
        <x:v>29</x:v>
      </x:c>
      <x:c r="T48" s="37" t="n">
        <x:f>IFERROR(S48/Q48,0)</x:f>
        <x:v>0.018125</x:v>
      </x:c>
      <x:c r="U48" s="14" t="str">
        <x:f>TEXT(B48,"dddd")</x:f>
        <x:v>Friday</x:v>
      </x:c>
      <x:c r="V48" s="14" t="str">
        <x:v>Feature feedback</x:v>
      </x:c>
      <x:c r="W48" s="14" t="str">
        <x:v>No</x:v>
      </x:c>
      <x:c r="X48" s="14" t="str">
        <x:v>text, referenced_tweets</x:v>
      </x:c>
    </x:row>
    <x:row r="49">
      <x:c r="A49" s="14" t="str">
        <x:v>SM048</x:v>
      </x:c>
      <x:c r="B49" s="34" t="n">
        <x:v>46166.68194444444</x:v>
      </x:c>
      <x:c r="C49" s="14" t="str">
        <x:v>Original post</x:v>
      </x:c>
      <x:c r="D49" s="14" t="str">
        <x:v>CommBank</x:v>
      </x:c>
      <x:c r="E49" s="14" t="str">
        <x:v>50k+</x:v>
      </x:c>
      <x:c r="F49" s="14" t="str">
        <x:v>Reminder: genuine bank staff will not ask you to transfer money to a 'safe account'. Stop, check and report suspicious requests.</x:v>
      </x:c>
      <x:c r="G49" s="14" t="str">
        <x:v>Fraud &amp; scams</x:v>
      </x:c>
      <x:c r="H49" s="14" t="str">
        <x:v>Text + image</x:v>
      </x:c>
      <x:c r="I49" s="14" t="str">
        <x:v>#ScamAwareness #StopCheckReport</x:v>
      </x:c>
      <x:c r="J49" s="14" t="str">
        <x:v>No</x:v>
      </x:c>
      <x:c r="K49" s="14" t="str">
        <x:v>Neutral</x:v>
      </x:c>
      <x:c r="L49" s="35" t="n">
        <x:v>0.16</x:v>
      </x:c>
      <x:c r="M49" s="36" t="n">
        <x:v>1280</x:v>
      </x:c>
      <x:c r="N49" s="36" t="n">
        <x:v>118</x:v>
      </x:c>
      <x:c r="O49" s="36" t="n">
        <x:v>520</x:v>
      </x:c>
      <x:c r="P49" s="36" t="n">
        <x:v>47</x:v>
      </x:c>
      <x:c r="Q49" s="36" t="n">
        <x:v>210000</x:v>
      </x:c>
      <x:c r="R49" s="36" t="n">
        <x:v>10200</x:v>
      </x:c>
      <x:c r="S49" s="36" t="n">
        <x:f>SUM(M49:P49)+R49</x:f>
        <x:v>12165</x:v>
      </x:c>
      <x:c r="T49" s="37" t="n">
        <x:f>IFERROR(S49/Q49,0)</x:f>
        <x:v>0.057928571428571426</x:v>
      </x:c>
      <x:c r="U49" s="14" t="str">
        <x:f>TEXT(B49,"dddd")</x:f>
        <x:v>Sunday</x:v>
      </x:c>
      <x:c r="V49" s="14" t="str">
        <x:v>Educational content</x:v>
      </x:c>
      <x:c r="W49" s="14" t="str">
        <x:v>No</x:v>
      </x:c>
      <x:c r="X49" s="14" t="str">
        <x:v>text, entities.hashtags, public_metrics</x:v>
      </x:c>
    </x:row>
    <x:row r="50">
      <x:c r="A50" s="14" t="str">
        <x:v>SM049</x:v>
      </x:c>
      <x:c r="B50" s="34" t="n">
        <x:v>46166.711805555555</x:v>
      </x:c>
      <x:c r="C50" s="14" t="str">
        <x:v>Mention</x:v>
      </x:c>
      <x:c r="D50" s="14" t="str">
        <x:v>Customer</x:v>
      </x:c>
      <x:c r="E50" s="14" t="str">
        <x:v>0-500</x:v>
      </x:c>
      <x:c r="F50" s="14" t="str">
        <x:v>A caller used the safe account line on my mum today. She hung up because she'd seen your post.</x:v>
      </x:c>
      <x:c r="G50" s="14" t="str">
        <x:v>Fraud &amp; scams</x:v>
      </x:c>
      <x:c r="H50" s="14" t="str">
        <x:v>Text</x:v>
      </x:c>
      <x:c r="I50" s="14" t="str"/>
      <x:c r="J50" s="14" t="str">
        <x:v>Yes</x:v>
      </x:c>
      <x:c r="K50" s="14" t="str">
        <x:v>Positive</x:v>
      </x:c>
      <x:c r="L50" s="35" t="n">
        <x:v>0.66</x:v>
      </x:c>
      <x:c r="M50" s="36" t="n">
        <x:v>76</x:v>
      </x:c>
      <x:c r="N50" s="36" t="n">
        <x:v>4</x:v>
      </x:c>
      <x:c r="O50" s="36" t="n">
        <x:v>13</x:v>
      </x:c>
      <x:c r="P50" s="36" t="n">
        <x:v>0</x:v>
      </x:c>
      <x:c r="Q50" s="36" t="n">
        <x:v>5200</x:v>
      </x:c>
      <x:c r="R50" s="36" t="n">
        <x:v>0</x:v>
      </x:c>
      <x:c r="S50" s="36" t="n">
        <x:f>SUM(M50:P50)+R50</x:f>
        <x:v>93</x:v>
      </x:c>
      <x:c r="T50" s="37" t="n">
        <x:f>IFERROR(S50/Q50,0)</x:f>
        <x:v>0.017884615384615384</x:v>
      </x:c>
      <x:c r="U50" s="14" t="str">
        <x:f>TEXT(B50,"dddd")</x:f>
        <x:v>Sunday</x:v>
      </x:c>
      <x:c r="V50" s="14" t="str">
        <x:v>Praise</x:v>
      </x:c>
      <x:c r="W50" s="14" t="str">
        <x:v>No</x:v>
      </x:c>
      <x:c r="X50" s="14" t="str">
        <x:v>text, entities.mentions</x:v>
      </x:c>
    </x:row>
    <x:row r="51">
      <x:c r="A51" s="14" t="str">
        <x:v>SM050</x:v>
      </x:c>
      <x:c r="B51" s="34" t="n">
        <x:v>46169.40277777778</x:v>
      </x:c>
      <x:c r="C51" s="14" t="str">
        <x:v>Original post</x:v>
      </x:c>
      <x:c r="D51" s="14" t="str">
        <x:v>CommBank</x:v>
      </x:c>
      <x:c r="E51" s="14" t="str">
        <x:v>50k+</x:v>
      </x:c>
      <x:c r="F51" s="14" t="str">
        <x:v>We are updating the app home screen to make upcoming bills and scheduled payments easier to find.</x:v>
      </x:c>
      <x:c r="G51" s="14" t="str">
        <x:v>Digital banking</x:v>
      </x:c>
      <x:c r="H51" s="14" t="str">
        <x:v>Text + image</x:v>
      </x:c>
      <x:c r="I51" s="14" t="str">
        <x:v>#CommBankApp</x:v>
      </x:c>
      <x:c r="J51" s="14" t="str">
        <x:v>No</x:v>
      </x:c>
      <x:c r="K51" s="14" t="str">
        <x:v>Positive</x:v>
      </x:c>
      <x:c r="L51" s="35" t="n">
        <x:v>0.44</x:v>
      </x:c>
      <x:c r="M51" s="36" t="n">
        <x:v>720</x:v>
      </x:c>
      <x:c r="N51" s="36" t="n">
        <x:v>156</x:v>
      </x:c>
      <x:c r="O51" s="36" t="n">
        <x:v>132</x:v>
      </x:c>
      <x:c r="P51" s="36" t="n">
        <x:v>35</x:v>
      </x:c>
      <x:c r="Q51" s="36" t="n">
        <x:v>149000</x:v>
      </x:c>
      <x:c r="R51" s="36" t="n">
        <x:v>4800</x:v>
      </x:c>
      <x:c r="S51" s="36" t="n">
        <x:f>SUM(M51:P51)+R51</x:f>
        <x:v>5843</x:v>
      </x:c>
      <x:c r="T51" s="37" t="n">
        <x:f>IFERROR(S51/Q51,0)</x:f>
        <x:v>0.039214765100671144</x:v>
      </x:c>
      <x:c r="U51" s="14" t="str">
        <x:f>TEXT(B51,"dddd")</x:f>
        <x:v>Wednesday</x:v>
      </x:c>
      <x:c r="V51" s="14" t="str">
        <x:v>Product update</x:v>
      </x:c>
      <x:c r="W51" s="14" t="str">
        <x:v>No</x:v>
      </x:c>
      <x:c r="X51" s="14" t="str">
        <x:v>text, public_metrics, attachments.media_keys</x:v>
      </x:c>
    </x:row>
    <x:row r="52">
      <x:c r="A52" s="14" t="str">
        <x:v>SM051</x:v>
      </x:c>
      <x:c r="B52" s="34" t="n">
        <x:v>46169.42013888889</x:v>
      </x:c>
      <x:c r="C52" s="14" t="str">
        <x:v>Reply</x:v>
      </x:c>
      <x:c r="D52" s="14" t="str">
        <x:v>Customer</x:v>
      </x:c>
      <x:c r="E52" s="14" t="str">
        <x:v>0-500</x:v>
      </x:c>
      <x:c r="F52" s="14" t="str">
        <x:v>Please do not move everything again. The last redesign made regular transfers harder to find.</x:v>
      </x:c>
      <x:c r="G52" s="14" t="str">
        <x:v>Digital banking</x:v>
      </x:c>
      <x:c r="H52" s="14" t="str">
        <x:v>Text</x:v>
      </x:c>
      <x:c r="I52" s="14" t="str"/>
      <x:c r="J52" s="14" t="str">
        <x:v>Yes</x:v>
      </x:c>
      <x:c r="K52" s="14" t="str">
        <x:v>Negative</x:v>
      </x:c>
      <x:c r="L52" s="35" t="n">
        <x:v>-0.49</x:v>
      </x:c>
      <x:c r="M52" s="36" t="n">
        <x:v>67</x:v>
      </x:c>
      <x:c r="N52" s="36" t="n">
        <x:v>12</x:v>
      </x:c>
      <x:c r="O52" s="36" t="n">
        <x:v>5</x:v>
      </x:c>
      <x:c r="P52" s="36" t="n">
        <x:v>2</x:v>
      </x:c>
      <x:c r="Q52" s="36" t="n">
        <x:v>3900</x:v>
      </x:c>
      <x:c r="R52" s="36" t="n">
        <x:v>0</x:v>
      </x:c>
      <x:c r="S52" s="36" t="n">
        <x:f>SUM(M52:P52)+R52</x:f>
        <x:v>86</x:v>
      </x:c>
      <x:c r="T52" s="37" t="n">
        <x:f>IFERROR(S52/Q52,0)</x:f>
        <x:v>0.02205128205128205</x:v>
      </x:c>
      <x:c r="U52" s="14" t="str">
        <x:f>TEXT(B52,"dddd")</x:f>
        <x:v>Wednesday</x:v>
      </x:c>
      <x:c r="V52" s="14" t="str">
        <x:v>Feature feedback</x:v>
      </x:c>
      <x:c r="W52" s="14" t="str">
        <x:v>No</x:v>
      </x:c>
      <x:c r="X52" s="14" t="str">
        <x:v>text, referenced_tweets</x:v>
      </x:c>
    </x:row>
    <x:row r="53">
      <x:c r="A53" s="14" t="str">
        <x:v>SM052</x:v>
      </x:c>
      <x:c r="B53" s="34" t="n">
        <x:v>46170.552083333336</x:v>
      </x:c>
      <x:c r="C53" s="14" t="str">
        <x:v>Mention</x:v>
      </x:c>
      <x:c r="D53" s="14" t="str">
        <x:v>Customer</x:v>
      </x:c>
      <x:c r="E53" s="14" t="str">
        <x:v>501-5k</x:v>
      </x:c>
      <x:c r="F53" s="14" t="str">
        <x:v>Credit where due: the fraud team called quickly after I reported a suspicious transfer.</x:v>
      </x:c>
      <x:c r="G53" s="14" t="str">
        <x:v>Fraud &amp; scams</x:v>
      </x:c>
      <x:c r="H53" s="14" t="str">
        <x:v>Text</x:v>
      </x:c>
      <x:c r="I53" s="14" t="str"/>
      <x:c r="J53" s="14" t="str">
        <x:v>Yes</x:v>
      </x:c>
      <x:c r="K53" s="14" t="str">
        <x:v>Positive</x:v>
      </x:c>
      <x:c r="L53" s="35" t="n">
        <x:v>0.76</x:v>
      </x:c>
      <x:c r="M53" s="36" t="n">
        <x:v>112</x:v>
      </x:c>
      <x:c r="N53" s="36" t="n">
        <x:v>6</x:v>
      </x:c>
      <x:c r="O53" s="36" t="n">
        <x:v>18</x:v>
      </x:c>
      <x:c r="P53" s="36" t="n">
        <x:v>1</x:v>
      </x:c>
      <x:c r="Q53" s="36" t="n">
        <x:v>7600</x:v>
      </x:c>
      <x:c r="R53" s="36" t="n">
        <x:v>0</x:v>
      </x:c>
      <x:c r="S53" s="36" t="n">
        <x:f>SUM(M53:P53)+R53</x:f>
        <x:v>137</x:v>
      </x:c>
      <x:c r="T53" s="37" t="n">
        <x:f>IFERROR(S53/Q53,0)</x:f>
        <x:v>0.018026315789473685</x:v>
      </x:c>
      <x:c r="U53" s="14" t="str">
        <x:f>TEXT(B53,"dddd")</x:f>
        <x:v>Thursday</x:v>
      </x:c>
      <x:c r="V53" s="14" t="str">
        <x:v>Praise</x:v>
      </x:c>
      <x:c r="W53" s="14" t="str">
        <x:v>No</x:v>
      </x:c>
      <x:c r="X53" s="14" t="str">
        <x:v>text, entities.mentions, public_metrics</x:v>
      </x:c>
    </x:row>
    <x:row r="54">
      <x:c r="A54" s="14" t="str">
        <x:v>SM053</x:v>
      </x:c>
      <x:c r="B54" s="34" t="n">
        <x:v>46174.354166666664</x:v>
      </x:c>
      <x:c r="C54" s="14" t="str">
        <x:v>Original post</x:v>
      </x:c>
      <x:c r="D54" s="14" t="str">
        <x:v>CommBank</x:v>
      </x:c>
      <x:c r="E54" s="14" t="str">
        <x:v>50k+</x:v>
      </x:c>
      <x:c r="F54" s="14" t="str">
        <x:v>Winter energy bills can be unpredictable. Build a small buffer where possible and review direct debits before they are due.</x:v>
      </x:c>
      <x:c r="G54" s="14" t="str">
        <x:v>Financial wellbeing</x:v>
      </x:c>
      <x:c r="H54" s="14" t="str">
        <x:v>Text + image</x:v>
      </x:c>
      <x:c r="I54" s="14" t="str">
        <x:v>#MoneyTips #Budgeting</x:v>
      </x:c>
      <x:c r="J54" s="14" t="str">
        <x:v>No</x:v>
      </x:c>
      <x:c r="K54" s="14" t="str">
        <x:v>Neutral</x:v>
      </x:c>
      <x:c r="L54" s="35" t="n">
        <x:v>0.21</x:v>
      </x:c>
      <x:c r="M54" s="36" t="n">
        <x:v>340</x:v>
      </x:c>
      <x:c r="N54" s="36" t="n">
        <x:v>31</x:v>
      </x:c>
      <x:c r="O54" s="36" t="n">
        <x:v>76</x:v>
      </x:c>
      <x:c r="P54" s="36" t="n">
        <x:v>8</x:v>
      </x:c>
      <x:c r="Q54" s="36" t="n">
        <x:v>93000</x:v>
      </x:c>
      <x:c r="R54" s="36" t="n">
        <x:v>3600</x:v>
      </x:c>
      <x:c r="S54" s="36" t="n">
        <x:f>SUM(M54:P54)+R54</x:f>
        <x:v>4055</x:v>
      </x:c>
      <x:c r="T54" s="37" t="n">
        <x:f>IFERROR(S54/Q54,0)</x:f>
        <x:v>0.04360215053763441</x:v>
      </x:c>
      <x:c r="U54" s="14" t="str">
        <x:f>TEXT(B54,"dddd")</x:f>
        <x:v>Monday</x:v>
      </x:c>
      <x:c r="V54" s="14" t="str">
        <x:v>Educational content</x:v>
      </x:c>
      <x:c r="W54" s="14" t="str">
        <x:v>No</x:v>
      </x:c>
      <x:c r="X54" s="14" t="str">
        <x:v>text, created_at, public_metrics</x:v>
      </x:c>
    </x:row>
    <x:row r="55">
      <x:c r="A55" s="14" t="str">
        <x:v>SM054</x:v>
      </x:c>
      <x:c r="B55" s="34" t="n">
        <x:v>46175.76388888889</x:v>
      </x:c>
      <x:c r="C55" s="14" t="str">
        <x:v>Mention</x:v>
      </x:c>
      <x:c r="D55" s="14" t="str">
        <x:v>Customer</x:v>
      </x:c>
      <x:c r="E55" s="14" t="str">
        <x:v>0-500</x:v>
      </x:c>
      <x:c r="F55" s="14" t="str">
        <x:v>Can the app notify me before a direct debit if my balance is low? That would prevent a lot of stress.</x:v>
      </x:c>
      <x:c r="G55" s="14" t="str">
        <x:v>Digital banking</x:v>
      </x:c>
      <x:c r="H55" s="14" t="str">
        <x:v>Text</x:v>
      </x:c>
      <x:c r="I55" s="14" t="str"/>
      <x:c r="J55" s="14" t="str">
        <x:v>Yes</x:v>
      </x:c>
      <x:c r="K55" s="14" t="str">
        <x:v>Mixed</x:v>
      </x:c>
      <x:c r="L55" s="35" t="n">
        <x:v>0.15</x:v>
      </x:c>
      <x:c r="M55" s="36" t="n">
        <x:v>84</x:v>
      </x:c>
      <x:c r="N55" s="36" t="n">
        <x:v>10</x:v>
      </x:c>
      <x:c r="O55" s="36" t="n">
        <x:v>11</x:v>
      </x:c>
      <x:c r="P55" s="36" t="n">
        <x:v>1</x:v>
      </x:c>
      <x:c r="Q55" s="36" t="n">
        <x:v>5900</x:v>
      </x:c>
      <x:c r="R55" s="36" t="n">
        <x:v>0</x:v>
      </x:c>
      <x:c r="S55" s="36" t="n">
        <x:f>SUM(M55:P55)+R55</x:f>
        <x:v>106</x:v>
      </x:c>
      <x:c r="T55" s="37" t="n">
        <x:f>IFERROR(S55/Q55,0)</x:f>
        <x:v>0.017966101694915255</x:v>
      </x:c>
      <x:c r="U55" s="14" t="str">
        <x:f>TEXT(B55,"dddd")</x:f>
        <x:v>Tuesday</x:v>
      </x:c>
      <x:c r="V55" s="14" t="str">
        <x:v>Feature feedback</x:v>
      </x:c>
      <x:c r="W55" s="14" t="str">
        <x:v>No</x:v>
      </x:c>
      <x:c r="X55" s="14" t="str">
        <x:v>text, entities.mentions</x:v>
      </x:c>
    </x:row>
    <x:row r="56">
      <x:c r="A56" s="14" t="str">
        <x:v>SM055</x:v>
      </x:c>
      <x:c r="B56" s="34" t="n">
        <x:v>46178.5</x:v>
      </x:c>
      <x:c r="C56" s="14" t="str">
        <x:v>Original post</x:v>
      </x:c>
      <x:c r="D56" s="14" t="str">
        <x:v>CommBank</x:v>
      </x:c>
      <x:c r="E56" s="14" t="str">
        <x:v>50k+</x:v>
      </x:c>
      <x:c r="F56" s="14" t="str">
        <x:v>We are celebrating teams volunteering with local partners to improve financial confidence in regional communities.</x:v>
      </x:c>
      <x:c r="G56" s="14" t="str">
        <x:v>Community</x:v>
      </x:c>
      <x:c r="H56" s="14" t="str">
        <x:v>Text + video</x:v>
      </x:c>
      <x:c r="I56" s="14" t="str">
        <x:v>#Community #Volunteering</x:v>
      </x:c>
      <x:c r="J56" s="14" t="str">
        <x:v>No</x:v>
      </x:c>
      <x:c r="K56" s="14" t="str">
        <x:v>Positive</x:v>
      </x:c>
      <x:c r="L56" s="35" t="n">
        <x:v>0.69</x:v>
      </x:c>
      <x:c r="M56" s="36" t="n">
        <x:v>860</x:v>
      </x:c>
      <x:c r="N56" s="36" t="n">
        <x:v>44</x:v>
      </x:c>
      <x:c r="O56" s="36" t="n">
        <x:v>188</x:v>
      </x:c>
      <x:c r="P56" s="36" t="n">
        <x:v>14</x:v>
      </x:c>
      <x:c r="Q56" s="36" t="n">
        <x:v>125000</x:v>
      </x:c>
      <x:c r="R56" s="36" t="n">
        <x:v>3100</x:v>
      </x:c>
      <x:c r="S56" s="36" t="n">
        <x:f>SUM(M56:P56)+R56</x:f>
        <x:v>4206</x:v>
      </x:c>
      <x:c r="T56" s="37" t="n">
        <x:f>IFERROR(S56/Q56,0)</x:f>
        <x:v>0.033648</x:v>
      </x:c>
      <x:c r="U56" s="14" t="str">
        <x:f>TEXT(B56,"dddd")</x:f>
        <x:v>Friday</x:v>
      </x:c>
      <x:c r="V56" s="14" t="str">
        <x:v>Campaign</x:v>
      </x:c>
      <x:c r="W56" s="14" t="str">
        <x:v>No</x:v>
      </x:c>
      <x:c r="X56" s="14" t="str">
        <x:v>text, attachments.media_keys, entities.hashtags</x:v>
      </x:c>
    </x:row>
    <x:row r="57">
      <x:c r="A57" s="14" t="str">
        <x:v>SM056</x:v>
      </x:c>
      <x:c r="B57" s="34" t="n">
        <x:v>46179.649305555555</x:v>
      </x:c>
      <x:c r="C57" s="14" t="str">
        <x:v>Quote post</x:v>
      </x:c>
      <x:c r="D57" s="14" t="str">
        <x:v>Community org</x:v>
      </x:c>
      <x:c r="E57" s="14" t="str">
        <x:v>501-5k</x:v>
      </x:c>
      <x:c r="F57" s="14" t="str">
        <x:v>Thank you @CommBank for supporting practical financial education in our region.</x:v>
      </x:c>
      <x:c r="G57" s="14" t="str">
        <x:v>Community</x:v>
      </x:c>
      <x:c r="H57" s="14" t="str">
        <x:v>Text + image</x:v>
      </x:c>
      <x:c r="I57" s="14" t="str">
        <x:v>#Community</x:v>
      </x:c>
      <x:c r="J57" s="14" t="str">
        <x:v>Yes</x:v>
      </x:c>
      <x:c r="K57" s="14" t="str">
        <x:v>Positive</x:v>
      </x:c>
      <x:c r="L57" s="35" t="n">
        <x:v>0.88</x:v>
      </x:c>
      <x:c r="M57" s="36" t="n">
        <x:v>122</x:v>
      </x:c>
      <x:c r="N57" s="36" t="n">
        <x:v>4</x:v>
      </x:c>
      <x:c r="O57" s="36" t="n">
        <x:v>28</x:v>
      </x:c>
      <x:c r="P57" s="36" t="n">
        <x:v>2</x:v>
      </x:c>
      <x:c r="Q57" s="36" t="n">
        <x:v>6900</x:v>
      </x:c>
      <x:c r="R57" s="36" t="n">
        <x:v>0</x:v>
      </x:c>
      <x:c r="S57" s="36" t="n">
        <x:f>SUM(M57:P57)+R57</x:f>
        <x:v>156</x:v>
      </x:c>
      <x:c r="T57" s="37" t="n">
        <x:f>IFERROR(S57/Q57,0)</x:f>
        <x:v>0.022608695652173914</x:v>
      </x:c>
      <x:c r="U57" s="14" t="str">
        <x:f>TEXT(B57,"dddd")</x:f>
        <x:v>Saturday</x:v>
      </x:c>
      <x:c r="V57" s="14" t="str">
        <x:v>Praise</x:v>
      </x:c>
      <x:c r="W57" s="14" t="str">
        <x:v>No</x:v>
      </x:c>
      <x:c r="X57" s="14" t="str">
        <x:v>text, referenced_tweets, entities.mentions</x:v>
      </x:c>
    </x:row>
    <x:row r="58">
      <x:c r="A58" s="14" t="str">
        <x:v>SM057</x:v>
      </x:c>
      <x:c r="B58" s="34" t="n">
        <x:v>46182.39236111111</x:v>
      </x:c>
      <x:c r="C58" s="14" t="str">
        <x:v>Original post</x:v>
      </x:c>
      <x:c r="D58" s="14" t="str">
        <x:v>CommBank</x:v>
      </x:c>
      <x:c r="E58" s="14" t="str">
        <x:v>50k+</x:v>
      </x:c>
      <x:c r="F58" s="14" t="str">
        <x:v>If a payment request arrives unexpectedly, call the person on a trusted number before sending money.</x:v>
      </x:c>
      <x:c r="G58" s="14" t="str">
        <x:v>Security education</x:v>
      </x:c>
      <x:c r="H58" s="14" t="str">
        <x:v>Text + image</x:v>
      </x:c>
      <x:c r="I58" s="14" t="str">
        <x:v>#CyberSafety #StopCheckReport</x:v>
      </x:c>
      <x:c r="J58" s="14" t="str">
        <x:v>No</x:v>
      </x:c>
      <x:c r="K58" s="14" t="str">
        <x:v>Neutral</x:v>
      </x:c>
      <x:c r="L58" s="35" t="n">
        <x:v>0.19</x:v>
      </x:c>
      <x:c r="M58" s="36" t="n">
        <x:v>740</x:v>
      </x:c>
      <x:c r="N58" s="36" t="n">
        <x:v>63</x:v>
      </x:c>
      <x:c r="O58" s="36" t="n">
        <x:v>295</x:v>
      </x:c>
      <x:c r="P58" s="36" t="n">
        <x:v>22</x:v>
      </x:c>
      <x:c r="Q58" s="36" t="n">
        <x:v>151000</x:v>
      </x:c>
      <x:c r="R58" s="36" t="n">
        <x:v>7200</x:v>
      </x:c>
      <x:c r="S58" s="36" t="n">
        <x:f>SUM(M58:P58)+R58</x:f>
        <x:v>8320</x:v>
      </x:c>
      <x:c r="T58" s="37" t="n">
        <x:f>IFERROR(S58/Q58,0)</x:f>
        <x:v>0.05509933774834437</x:v>
      </x:c>
      <x:c r="U58" s="14" t="str">
        <x:f>TEXT(B58,"dddd")</x:f>
        <x:v>Tuesday</x:v>
      </x:c>
      <x:c r="V58" s="14" t="str">
        <x:v>Educational content</x:v>
      </x:c>
      <x:c r="W58" s="14" t="str">
        <x:v>No</x:v>
      </x:c>
      <x:c r="X58" s="14" t="str">
        <x:v>text, entities.hashtags, public_metrics</x:v>
      </x:c>
    </x:row>
    <x:row r="59">
      <x:c r="A59" s="14" t="str">
        <x:v>SM058</x:v>
      </x:c>
      <x:c r="B59" s="34" t="n">
        <x:v>46183.84166666667</x:v>
      </x:c>
      <x:c r="C59" s="14" t="str">
        <x:v>Mention</x:v>
      </x:c>
      <x:c r="D59" s="14" t="str">
        <x:v>Customer</x:v>
      </x:c>
      <x:c r="E59" s="14" t="str">
        <x:v>0-500</x:v>
      </x:c>
      <x:c r="F59" s="14" t="str">
        <x:v>Why is there no clear scam reporting button in the app? I had to search around for it.</x:v>
      </x:c>
      <x:c r="G59" s="14" t="str">
        <x:v>Fraud &amp; scams</x:v>
      </x:c>
      <x:c r="H59" s="14" t="str">
        <x:v>Text</x:v>
      </x:c>
      <x:c r="I59" s="14" t="str"/>
      <x:c r="J59" s="14" t="str">
        <x:v>Yes</x:v>
      </x:c>
      <x:c r="K59" s="14" t="str">
        <x:v>Negative</x:v>
      </x:c>
      <x:c r="L59" s="35" t="n">
        <x:v>-0.64</x:v>
      </x:c>
      <x:c r="M59" s="36" t="n">
        <x:v>45</x:v>
      </x:c>
      <x:c r="N59" s="36" t="n">
        <x:v>12</x:v>
      </x:c>
      <x:c r="O59" s="36" t="n">
        <x:v>4</x:v>
      </x:c>
      <x:c r="P59" s="36" t="n">
        <x:v>1</x:v>
      </x:c>
      <x:c r="Q59" s="36" t="n">
        <x:v>4100</x:v>
      </x:c>
      <x:c r="R59" s="36" t="n">
        <x:v>0</x:v>
      </x:c>
      <x:c r="S59" s="36" t="n">
        <x:f>SUM(M59:P59)+R59</x:f>
        <x:v>62</x:v>
      </x:c>
      <x:c r="T59" s="37" t="n">
        <x:f>IFERROR(S59/Q59,0)</x:f>
        <x:v>0.015121951219512195</x:v>
      </x:c>
      <x:c r="U59" s="14" t="str">
        <x:f>TEXT(B59,"dddd")</x:f>
        <x:v>Wednesday</x:v>
      </x:c>
      <x:c r="V59" s="14" t="str">
        <x:v>Complaint</x:v>
      </x:c>
      <x:c r="W59" s="14" t="str">
        <x:v>Yes</x:v>
      </x:c>
      <x:c r="X59" s="14" t="str">
        <x:v>text, entities.mentions</x:v>
      </x:c>
    </x:row>
    <x:row r="60">
      <x:c r="A60" s="14" t="str">
        <x:v>SM059</x:v>
      </x:c>
      <x:c r="B60" s="34" t="n">
        <x:v>46185.46527777778</x:v>
      </x:c>
      <x:c r="C60" s="14" t="str">
        <x:v>Original post</x:v>
      </x:c>
      <x:c r="D60" s="14" t="str">
        <x:v>CommBank</x:v>
      </x:c>
      <x:c r="E60" s="14" t="str">
        <x:v>50k+</x:v>
      </x:c>
      <x:c r="F60" s="14" t="str">
        <x:v>Our app update includes accessibility improvements for screen readers and clearer error messages.</x:v>
      </x:c>
      <x:c r="G60" s="14" t="str">
        <x:v>Digital banking</x:v>
      </x:c>
      <x:c r="H60" s="14" t="str">
        <x:v>Text + image</x:v>
      </x:c>
      <x:c r="I60" s="14" t="str">
        <x:v>#CommBankApp #Accessibility</x:v>
      </x:c>
      <x:c r="J60" s="14" t="str">
        <x:v>No</x:v>
      </x:c>
      <x:c r="K60" s="14" t="str">
        <x:v>Positive</x:v>
      </x:c>
      <x:c r="L60" s="35" t="n">
        <x:v>0.61</x:v>
      </x:c>
      <x:c r="M60" s="36" t="n">
        <x:v>690</x:v>
      </x:c>
      <x:c r="N60" s="36" t="n">
        <x:v>73</x:v>
      </x:c>
      <x:c r="O60" s="36" t="n">
        <x:v>148</x:v>
      </x:c>
      <x:c r="P60" s="36" t="n">
        <x:v>20</x:v>
      </x:c>
      <x:c r="Q60" s="36" t="n">
        <x:v>121000</x:v>
      </x:c>
      <x:c r="R60" s="36" t="n">
        <x:v>3900</x:v>
      </x:c>
      <x:c r="S60" s="36" t="n">
        <x:f>SUM(M60:P60)+R60</x:f>
        <x:v>4831</x:v>
      </x:c>
      <x:c r="T60" s="37" t="n">
        <x:f>IFERROR(S60/Q60,0)</x:f>
        <x:v>0.03992561983471074</x:v>
      </x:c>
      <x:c r="U60" s="14" t="str">
        <x:f>TEXT(B60,"dddd")</x:f>
        <x:v>Friday</x:v>
      </x:c>
      <x:c r="V60" s="14" t="str">
        <x:v>Product update</x:v>
      </x:c>
      <x:c r="W60" s="14" t="str">
        <x:v>No</x:v>
      </x:c>
      <x:c r="X60" s="14" t="str">
        <x:v>text, entities.hashtags, public_metrics</x:v>
      </x:c>
    </x:row>
    <x:row r="61">
      <x:c r="A61" s="14" t="str">
        <x:v>SM060</x:v>
      </x:c>
      <x:c r="B61" s="34" t="n">
        <x:v>46185.504166666666</x:v>
      </x:c>
      <x:c r="C61" s="14" t="str">
        <x:v>Reply</x:v>
      </x:c>
      <x:c r="D61" s="14" t="str">
        <x:v>Customer</x:v>
      </x:c>
      <x:c r="E61" s="14" t="str">
        <x:v>0-500</x:v>
      </x:c>
      <x:c r="F61" s="14" t="str">
        <x:v>The clearer error messages help. Please make the font size easier to adjust too.</x:v>
      </x:c>
      <x:c r="G61" s="14" t="str">
        <x:v>Digital banking</x:v>
      </x:c>
      <x:c r="H61" s="14" t="str">
        <x:v>Text</x:v>
      </x:c>
      <x:c r="I61" s="14" t="str"/>
      <x:c r="J61" s="14" t="str">
        <x:v>Yes</x:v>
      </x:c>
      <x:c r="K61" s="14" t="str">
        <x:v>Mixed</x:v>
      </x:c>
      <x:c r="L61" s="35" t="n">
        <x:v>0.25</x:v>
      </x:c>
      <x:c r="M61" s="36" t="n">
        <x:v>38</x:v>
      </x:c>
      <x:c r="N61" s="36" t="n">
        <x:v>5</x:v>
      </x:c>
      <x:c r="O61" s="36" t="n">
        <x:v>3</x:v>
      </x:c>
      <x:c r="P61" s="36" t="n">
        <x:v>0</x:v>
      </x:c>
      <x:c r="Q61" s="36" t="n">
        <x:v>2400</x:v>
      </x:c>
      <x:c r="R61" s="36" t="n">
        <x:v>0</x:v>
      </x:c>
      <x:c r="S61" s="36" t="n">
        <x:f>SUM(M61:P61)+R61</x:f>
        <x:v>46</x:v>
      </x:c>
      <x:c r="T61" s="37" t="n">
        <x:f>IFERROR(S61/Q61,0)</x:f>
        <x:v>0.019166666666666665</x:v>
      </x:c>
      <x:c r="U61" s="14" t="str">
        <x:f>TEXT(B61,"dddd")</x:f>
        <x:v>Friday</x:v>
      </x:c>
      <x:c r="V61" s="14" t="str">
        <x:v>Feature feedback</x:v>
      </x:c>
      <x:c r="W61" s="14" t="str">
        <x:v>No</x:v>
      </x:c>
      <x:c r="X61" s="14" t="str">
        <x:v>text, referenced_tweets</x:v>
      </x:c>
    </x:row>
  </x:sheetData>
  <x:conditionalFormatting sqref="T2:T61">
    <x:cfRule type="colorScale" priority="1">
      <x:colorScale>
        <x:cfvo type="min"/>
        <x:cfvo type="percentile" val="50"/>
        <x:cfvo type="max"/>
        <x:color rgb="FFFEE2E2"/>
        <x:color rgb="FFFEF3C7"/>
        <x:color rgb="FFDCFCE7"/>
      </x:colorScale>
    </x:cfRule>
  </x:conditionalFormatting>
  <x:conditionalFormatting sqref="L2:L61">
    <x:cfRule type="colorScale" priority="2">
      <x:colorScale>
        <x:cfvo type="min"/>
        <x:cfvo type="percentile" val="50"/>
        <x:cfvo type="max"/>
        <x:color rgb="FFFECACA"/>
        <x:color rgb="FFF3F4F6"/>
        <x:color rgb="FFBBF7D0"/>
      </x:colorScale>
    </x:cfRule>
  </x:conditionalFormatting>
  <x:conditionalFormatting sqref="W2:W61">
    <x:cfRule type="expression" dxfId="0" priority="3">
      <x:formula>$W2="Yes"</x:formula>
    </x:cfRule>
  </x:conditionalFormatting>
  <x:pageMargins left="0.7" right="0.7" top="0.75" bottom="0.75" header="0.3" footer="0.3"/>
  <x:tableParts count="1">
    <x:tablePart xmlns:r="http://schemas.openxmlformats.org/officeDocument/2006/relationships" r:id="Ra3ae538be4124b92"/>
  </x:tableParts>
</x:worksheet>
</file>

<file path=xl/worksheets/sheet3.xml><?xml version="1.0" encoding="utf-8"?>
<x:worksheet xmlns:x="http://schemas.openxmlformats.org/spreadsheetml/2006/main">
  <x:sheetFormatPr defaultRowHeight="15"/>
  <x:cols>
    <x:col min="1" max="1" width="22" hidden="0" customWidth="1"/>
    <x:col min="2" max="2" width="44" hidden="0" customWidth="1"/>
    <x:col min="3" max="3" width="42" hidden="0" customWidth="1"/>
    <x:col min="4" max="4" width="40" hidden="0" customWidth="1"/>
  </x:cols>
  <x:sheetData>
    <x:row r="1">
      <x:c r="A1" s="21" t="str">
        <x:v>Column</x:v>
      </x:c>
      <x:c r="B1" s="21" t="str">
        <x:v>Description</x:v>
      </x:c>
      <x:c r="C1" s="21" t="str">
        <x:v>Student use</x:v>
      </x:c>
      <x:c r="D1" s="21" t="str">
        <x:v>X/Twitter API or analytics concept</x:v>
      </x:c>
    </x:row>
    <x:row r="2">
      <x:c r="A2" s="14" t="str">
        <x:v>post_id</x:v>
      </x:c>
      <x:c r="B2" s="14" t="str">
        <x:v>Unique identifier for each simulated social media item.</x:v>
      </x:c>
      <x:c r="C2" s="14" t="str">
        <x:v>Reference individual posts when discussing findings.</x:v>
      </x:c>
      <x:c r="D2" s="14" t="str">
        <x:v>id</x:v>
      </x:c>
    </x:row>
    <x:row r="3">
      <x:c r="A3" s="14" t="str">
        <x:v>post_datetime</x:v>
      </x:c>
      <x:c r="B3" s="14" t="str">
        <x:v>Date and time the post was published.</x:v>
      </x:c>
      <x:c r="C3" s="14" t="str">
        <x:v>Analyze timing, trends, and day-of-week patterns.</x:v>
      </x:c>
      <x:c r="D3" s="14" t="str">
        <x:v>created_at</x:v>
      </x:c>
    </x:row>
    <x:row r="4">
      <x:c r="A4" s="14" t="str">
        <x:v>post_type</x:v>
      </x:c>
      <x:c r="B4" s="14" t="str">
        <x:v>Whether the row is a brand post, customer reply, mention, or quote post.</x:v>
      </x:c>
      <x:c r="C4" s="14" t="str">
        <x:v>Compare original posts with customer interactions.</x:v>
      </x:c>
      <x:c r="D4" s="14" t="str">
        <x:v>referenced_tweets, conversation_id</x:v>
      </x:c>
    </x:row>
    <x:row r="5">
      <x:c r="A5" s="14" t="str">
        <x:v>author_type</x:v>
      </x:c>
      <x:c r="B5" s="14" t="str">
        <x:v>Simplified category of the account that created the post.</x:v>
      </x:c>
      <x:c r="C5" s="14" t="str">
        <x:v>Explore who is engaging with the brand.</x:v>
      </x:c>
      <x:c r="D5" s="14" t="str">
        <x:v>author_id with user profile enrichment</x:v>
      </x:c>
    </x:row>
    <x:row r="6">
      <x:c r="A6" s="14" t="str">
        <x:v>author_follower_bucket</x:v>
      </x:c>
      <x:c r="B6" s="14" t="str">
        <x:v>Approximate audience-size bucket for the author.</x:v>
      </x:c>
      <x:c r="C6" s="14" t="str">
        <x:v>Compare engagement from smaller vs. larger accounts.</x:v>
      </x:c>
      <x:c r="D6" s="14" t="str">
        <x:v>public_metrics.followers_count</x:v>
      </x:c>
    </x:row>
    <x:row r="7">
      <x:c r="A7" s="14" t="str">
        <x:v>post_text</x:v>
      </x:c>
      <x:c r="B7" s="14" t="str">
        <x:v>Simulated text content of the social media post.</x:v>
      </x:c>
      <x:c r="C7" s="14" t="str">
        <x:v>Perform topic, keyword, and sentiment analysis.</x:v>
      </x:c>
      <x:c r="D7" s="14" t="str">
        <x:v>text</x:v>
      </x:c>
    </x:row>
    <x:row r="8">
      <x:c r="A8" s="14" t="str">
        <x:v>topic</x:v>
      </x:c>
      <x:c r="B8" s="14" t="str">
        <x:v>Curated topic label for the post.</x:v>
      </x:c>
      <x:c r="C8" s="14" t="str">
        <x:v>Group posts into themes such as fraud, app issues, or financial wellbeing.</x:v>
      </x:c>
      <x:c r="D8" s="14" t="str">
        <x:v>Derived classification from text/entities</x:v>
      </x:c>
    </x:row>
    <x:row r="9">
      <x:c r="A9" s="14" t="str">
        <x:v>content_format</x:v>
      </x:c>
      <x:c r="B9" s="14" t="str">
        <x:v>Simplified format of the post: text, image, video, link, etc.</x:v>
      </x:c>
      <x:c r="C9" s="14" t="str">
        <x:v>Compare engagement by format.</x:v>
      </x:c>
      <x:c r="D9" s="14" t="str">
        <x:v>attachments, media_keys, entities.urls</x:v>
      </x:c>
    </x:row>
    <x:row r="10">
      <x:c r="A10" s="14" t="str">
        <x:v>hashtags</x:v>
      </x:c>
      <x:c r="B10" s="14" t="str">
        <x:v>Hashtags included in the simulated post.</x:v>
      </x:c>
      <x:c r="C10" s="14" t="str">
        <x:v>Identify recurring campaign or topic markers.</x:v>
      </x:c>
      <x:c r="D10" s="14" t="str">
        <x:v>entities.hashtags</x:v>
      </x:c>
    </x:row>
    <x:row r="11">
      <x:c r="A11" s="14" t="str">
        <x:v>mentions_commbank</x:v>
      </x:c>
      <x:c r="B11" s="14" t="str">
        <x:v>Whether the post mentions Commonwealth Bank.</x:v>
      </x:c>
      <x:c r="C11" s="14" t="str">
        <x:v>Separate brand-originated posts from customer mentions.</x:v>
      </x:c>
      <x:c r="D11" s="14" t="str">
        <x:v>entities.mentions</x:v>
      </x:c>
    </x:row>
    <x:row r="12">
      <x:c r="A12" s="14" t="str">
        <x:v>sentiment_label</x:v>
      </x:c>
      <x:c r="B12" s="14" t="str">
        <x:v>Curated sentiment category.</x:v>
      </x:c>
      <x:c r="C12" s="14" t="str">
        <x:v>Summarize positive, negative, neutral, and mixed responses.</x:v>
      </x:c>
      <x:c r="D12" s="14" t="str">
        <x:v>Derived NLP output</x:v>
      </x:c>
    </x:row>
    <x:row r="13">
      <x:c r="A13" s="14" t="str">
        <x:v>sentiment_score</x:v>
      </x:c>
      <x:c r="B13" s="14" t="str">
        <x:v>Numeric sentiment score from -1 to +1.</x:v>
      </x:c>
      <x:c r="C13" s="14" t="str">
        <x:v>Calculate average sentiment by topic or post type.</x:v>
      </x:c>
      <x:c r="D13" s="14" t="str">
        <x:v>Derived NLP output</x:v>
      </x:c>
    </x:row>
    <x:row r="14">
      <x:c r="A14" s="14" t="str">
        <x:v>likes</x:v>
      </x:c>
      <x:c r="B14" s="14" t="str">
        <x:v>Simulated like count.</x:v>
      </x:c>
      <x:c r="C14" s="14" t="str">
        <x:v>Measure visible approval or interest.</x:v>
      </x:c>
      <x:c r="D14" s="14" t="str">
        <x:v>public_metrics.like_count</x:v>
      </x:c>
    </x:row>
    <x:row r="15">
      <x:c r="A15" s="14" t="str">
        <x:v>replies</x:v>
      </x:c>
      <x:c r="B15" s="14" t="str">
        <x:v>Simulated reply count.</x:v>
      </x:c>
      <x:c r="C15" s="14" t="str">
        <x:v>Measure conversation volume and support needs.</x:v>
      </x:c>
      <x:c r="D15" s="14" t="str">
        <x:v>public_metrics.reply_count</x:v>
      </x:c>
    </x:row>
    <x:row r="16">
      <x:c r="A16" s="14" t="str">
        <x:v>reposts</x:v>
      </x:c>
      <x:c r="B16" s="14" t="str">
        <x:v>Simulated repost/share count.</x:v>
      </x:c>
      <x:c r="C16" s="14" t="str">
        <x:v>Measure amplification.</x:v>
      </x:c>
      <x:c r="D16" s="14" t="str">
        <x:v>public_metrics.retweet_count/repost_count</x:v>
      </x:c>
    </x:row>
    <x:row r="17">
      <x:c r="A17" s="14" t="str">
        <x:v>quote_posts</x:v>
      </x:c>
      <x:c r="B17" s="14" t="str">
        <x:v>Simulated quote post count.</x:v>
      </x:c>
      <x:c r="C17" s="14" t="str">
        <x:v>Measure public commentary beyond direct replies.</x:v>
      </x:c>
      <x:c r="D17" s="14" t="str">
        <x:v>public_metrics.quote_count</x:v>
      </x:c>
    </x:row>
    <x:row r="18">
      <x:c r="A18" s="14" t="str">
        <x:v>views</x:v>
      </x:c>
      <x:c r="B18" s="14" t="str">
        <x:v>Simulated view/impression count.</x:v>
      </x:c>
      <x:c r="C18" s="14" t="str">
        <x:v>Find high-reach posts and high-view/low-engagement posts.</x:v>
      </x:c>
      <x:c r="D18" s="14" t="str">
        <x:v>impression_count or analytics field</x:v>
      </x:c>
    </x:row>
    <x:row r="19">
      <x:c r="A19" s="14" t="str">
        <x:v>link_clicks</x:v>
      </x:c>
      <x:c r="B19" s="14" t="str">
        <x:v>Simulated click count for links or calls to action. This may require internal analytics access.</x:v>
      </x:c>
      <x:c r="C19" s="14" t="str">
        <x:v>Evaluate whether posts drive action beyond public engagement.</x:v>
      </x:c>
      <x:c r="D19" s="14" t="str">
        <x:v>URL analytics/owned social reporting; not always public API</x:v>
      </x:c>
    </x:row>
    <x:row r="20">
      <x:c r="A20" s="14" t="str">
        <x:v>total_engagements</x:v>
      </x:c>
      <x:c r="B20" s="14" t="str">
        <x:v>Formula that adds likes, replies, reposts, quote posts, and link clicks.</x:v>
      </x:c>
      <x:c r="C20" s="14" t="str">
        <x:v>Sort by highest engagement.</x:v>
      </x:c>
      <x:c r="D20" s="14" t="str">
        <x:v>Derived metric</x:v>
      </x:c>
    </x:row>
    <x:row r="21">
      <x:c r="A21" s="14" t="str">
        <x:v>engagement_rate</x:v>
      </x:c>
      <x:c r="B21" s="14" t="str">
        <x:v>Formula: total engagements divided by views.</x:v>
      </x:c>
      <x:c r="C21" s="14" t="str">
        <x:v>Compare performance while accounting for reach.</x:v>
      </x:c>
      <x:c r="D21" s="14" t="str">
        <x:v>Derived metric</x:v>
      </x:c>
    </x:row>
    <x:row r="22">
      <x:c r="A22" s="14" t="str">
        <x:v>day_of_week</x:v>
      </x:c>
      <x:c r="B22" s="14" t="str">
        <x:v>Formula derived from post_datetime.</x:v>
      </x:c>
      <x:c r="C22" s="14" t="str">
        <x:v>Explore timing patterns.</x:v>
      </x:c>
      <x:c r="D22" s="14" t="str">
        <x:v>Derived from created_at</x:v>
      </x:c>
    </x:row>
    <x:row r="23">
      <x:c r="A23" s="14" t="str">
        <x:v>customer_intent</x:v>
      </x:c>
      <x:c r="B23" s="14" t="str">
        <x:v>Curated reason for the post, such as complaint, question, praise, or feature feedback.</x:v>
      </x:c>
      <x:c r="C23" s="14" t="str">
        <x:v>Identify support needs and insight opportunities.</x:v>
      </x:c>
      <x:c r="D23" s="14" t="str">
        <x:v>Derived classification</x:v>
      </x:c>
    </x:row>
    <x:row r="24">
      <x:c r="A24" s="14" t="str">
        <x:v>response_needed</x:v>
      </x:c>
      <x:c r="B24" s="14" t="str">
        <x:v>Whether the row appears to need a customer support response.</x:v>
      </x:c>
      <x:c r="C24" s="14" t="str">
        <x:v>Prioritize issues that need action.</x:v>
      </x:c>
      <x:c r="D24" s="14" t="str">
        <x:v>Derived business rule</x:v>
      </x:c>
    </x:row>
    <x:row r="25">
      <x:c r="A25" s="14" t="str">
        <x:v>api_field_examples</x:v>
      </x:c>
      <x:c r="B25" s="14" t="str">
        <x:v>Examples of API fields or concepts that could produce similar information.</x:v>
      </x:c>
      <x:c r="C25" s="14" t="str">
        <x:v>Connect the dataset back to API documentation.</x:v>
      </x:c>
      <x:c r="D25" s="14" t="str">
        <x:v>Documentation mapping</x:v>
      </x:c>
    </x:row>
  </x:sheetData>
  <x:pageMargins left="0.7" right="0.7" top="0.75" bottom="0.75" header="0.3" footer="0.3"/>
  <x:tableParts count="1">
    <x:tablePart xmlns:r="http://schemas.openxmlformats.org/officeDocument/2006/relationships" r:id="R617241b313d94d2a"/>
  </x:tableParts>
</x:worksheet>
</file>

<file path=xl/worksheets/sheet4.xml><?xml version="1.0" encoding="utf-8"?>
<x:worksheet xmlns:x="http://schemas.openxmlformats.org/spreadsheetml/2006/main">
  <x:sheetFormatPr defaultRowHeight="15"/>
  <x:cols>
    <x:col min="1" max="1" width="22" hidden="0" customWidth="1"/>
    <x:col min="2" max="2" width="70" hidden="0" customWidth="1"/>
    <x:col min="3" max="3" width="45" hidden="0" customWidth="1"/>
  </x:cols>
  <x:sheetData>
    <x:row r="1">
      <x:c r="A1" s="21" t="str">
        <x:v>Analysis area</x:v>
      </x:c>
      <x:c r="B1" s="21" t="str">
        <x:v>Question learners can answer with the dataset</x:v>
      </x:c>
      <x:c r="C1" s="21" t="str">
        <x:v>Relevant columns</x:v>
      </x:c>
    </x:row>
    <x:row r="2">
      <x:c r="A2" s="14" t="str">
        <x:v>Topic analysis</x:v>
      </x:c>
      <x:c r="B2" s="14" t="str">
        <x:v>Which topics appear most often, and what do those topics suggest customers care about?</x:v>
      </x:c>
      <x:c r="C2" s="14" t="str">
        <x:v>topic, post_text, hashtags</x:v>
      </x:c>
    </x:row>
    <x:row r="3">
      <x:c r="A3" s="14" t="str">
        <x:v>Engagement analysis</x:v>
      </x:c>
      <x:c r="B3" s="14" t="str">
        <x:v>Which posts generate the most total engagement? Do the highest-view posts also receive the highest engagement?</x:v>
      </x:c>
      <x:c r="C3" s="14" t="str">
        <x:v>likes, replies, reposts, quote_posts, views, link_clicks, total_engagements, engagement_rate</x:v>
      </x:c>
    </x:row>
    <x:row r="4">
      <x:c r="A4" s="14" t="str">
        <x:v>Sentiment analysis</x:v>
      </x:c>
      <x:c r="B4" s="14" t="str">
        <x:v>Which topics have the most positive, negative, neutral, or mixed sentiment?</x:v>
      </x:c>
      <x:c r="C4" s="14" t="str">
        <x:v>topic, sentiment_label, sentiment_score</x:v>
      </x:c>
    </x:row>
    <x:row r="5">
      <x:c r="A5" s="14" t="str">
        <x:v>Customer support</x:v>
      </x:c>
      <x:c r="B5" s="14" t="str">
        <x:v>Which posts likely require a response from CommBank, and what themes do they share?</x:v>
      </x:c>
      <x:c r="C5" s="14" t="str">
        <x:v>post_type, customer_intent, response_needed, topic, post_text</x:v>
      </x:c>
    </x:row>
    <x:row r="6">
      <x:c r="A6" s="14" t="str">
        <x:v>Trend analysis</x:v>
      </x:c>
      <x:c r="B6" s="14" t="str">
        <x:v>Do certain topics or sentiment patterns appear more often on specific dates or days of the week?</x:v>
      </x:c>
      <x:c r="C6" s="14" t="str">
        <x:v>post_datetime, day_of_week, topic, sentiment_label</x:v>
      </x:c>
    </x:row>
    <x:row r="7">
      <x:c r="A7" s="14" t="str">
        <x:v>Marketing insight</x:v>
      </x:c>
      <x:c r="B7" s="14" t="str">
        <x:v>Which formats or campaign themes appear to resonate most with audiences?</x:v>
      </x:c>
      <x:c r="C7" s="14" t="str">
        <x:v>content_format, hashtags, topic, engagement_rate</x:v>
      </x:c>
    </x:row>
    <x:row r="8">
      <x:c r="A8" s="14" t="str">
        <x:v>Product insight</x:v>
      </x:c>
      <x:c r="B8" s="14" t="str">
        <x:v>What app, NetBank, card, or service improvements are customers requesting?</x:v>
      </x:c>
      <x:c r="C8" s="14" t="str">
        <x:v>topic, customer_intent, post_text</x:v>
      </x:c>
    </x:row>
    <x:row r="9">
      <x:c r="A9" s="14" t="str">
        <x:v>Risk insight</x:v>
      </x:c>
      <x:c r="B9" s="14" t="str">
        <x:v>What scam or security concerns are most visible in the data?</x:v>
      </x:c>
      <x:c r="C9" s="14" t="str">
        <x:v>topic, customer_intent, sentiment_label, post_text</x:v>
      </x:c>
    </x:row>
  </x:sheetData>
  <x:pageMargins left="0.7" right="0.7" top="0.75" bottom="0.75" header="0.3" footer="0.3"/>
  <x:tableParts count="1">
    <x:tablePart xmlns:r="http://schemas.openxmlformats.org/officeDocument/2006/relationships" r:id="R0b05709153d34b56"/>
  </x:tableParts>
</x:worksheet>
</file>

<file path=xl/worksheets/sheet5.xml><?xml version="1.0" encoding="utf-8"?>
<x:worksheet xmlns:x="http://schemas.openxmlformats.org/spreadsheetml/2006/main">
  <x:sheetFormatPr defaultRowHeight="15"/>
  <x:cols>
    <x:col min="1" max="1" width="28" hidden="0" customWidth="1"/>
    <x:col min="2" max="2" width="48" hidden="0" customWidth="1"/>
    <x:col min="3" max="3" width="110" hidden="0" customWidth="1"/>
  </x:cols>
  <x:sheetData>
    <x:row r="1">
      <x:c r="A1" s="21" t="str">
        <x:v>Resource</x:v>
      </x:c>
      <x:c r="B1" s="21" t="str">
        <x:v>Use in task</x:v>
      </x:c>
      <x:c r="C1" s="21" t="str">
        <x:v>URL</x:v>
      </x:c>
    </x:row>
    <x:row r="2">
      <x:c r="A2" s="14" t="str">
        <x:v>X API documentation</x:v>
      </x:c>
      <x:c r="B2" s="14" t="str">
        <x:v>Understand available fields and API concepts that can map to this dataset.</x:v>
      </x:c>
      <x:c r="C2" s="14" t="str">
        <x:v>http://docs.x.com/overview</x:v>
      </x:c>
    </x:row>
    <x:row r="3">
      <x:c r="A3" s="14" t="str">
        <x:v>X API Getting Started PDF</x:v>
      </x:c>
      <x:c r="B3" s="14" t="str">
        <x:v>Reference for introductory API concepts.</x:v>
      </x:c>
      <x:c r="C3" s="14" t="str">
        <x:v>https://cdn.theforage.com/vinternships/companyassets/2sNmYuurxgpFYawco/y2NzZJASdgERdYR4S/1675682056660/getting_started.pdf</x:v>
      </x:c>
    </x:row>
    <x:row r="4">
      <x:c r="A4" s="14" t="str">
        <x:v>Social media sentiment analysis</x:v>
      </x:c>
      <x:c r="B4" s="14" t="str">
        <x:v>Background reading for classifying positive, negative, neutral, and mixed social media text.</x:v>
      </x:c>
      <x:c r="C4" s="14" t="str">
        <x:v>Add program-approved URL here</x:v>
      </x:c>
    </x:row>
  </x:sheetData>
  <x:pageMargins left="0.7" right="0.7" top="0.75" bottom="0.75" header="0.3" footer="0.3"/>
  <x:tableParts count="1">
    <x:tablePart xmlns:r="http://schemas.openxmlformats.org/officeDocument/2006/relationships" r:id="Rd5dc0959a0924f66"/>
  </x:tableParts>
</x:worksheet>
</file>